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527" codeName="{B6124F1A-AFFB-F854-7757-9A1D4C6FC43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shiki\Documents\GitHub\Original\Orginal\Data\DataBase\"/>
    </mc:Choice>
  </mc:AlternateContent>
  <xr:revisionPtr revIDLastSave="0" documentId="8_{3B9FB2E2-9DB6-4701-8A1E-1092D1430287}" xr6:coauthVersionLast="47" xr6:coauthVersionMax="47" xr10:uidLastSave="{00000000-0000-0000-0000-000000000000}"/>
  <bookViews>
    <workbookView xWindow="-23235" yWindow="1995" windowWidth="18870" windowHeight="14235" tabRatio="733" firstSheet="23" activeTab="29" xr2:uid="{00000000-000D-0000-FFFF-FFFF00000000}"/>
  </bookViews>
  <sheets>
    <sheet name="PLStatus" sheetId="2" r:id="rId1"/>
    <sheet name="PLMesh" sheetId="3" r:id="rId2"/>
    <sheet name="PLMotionCollision" sheetId="42" r:id="rId3"/>
    <sheet name="PLSkill" sheetId="20" r:id="rId4"/>
    <sheet name="PLTransform" sheetId="35" r:id="rId5"/>
    <sheet name="NPCMesh" sheetId="38" r:id="rId6"/>
    <sheet name="NPCTransform" sheetId="40" r:id="rId7"/>
    <sheet name="NPCText" sheetId="41" r:id="rId8"/>
    <sheet name="EnmStatus" sheetId="12" r:id="rId9"/>
    <sheet name="EnmMesh" sheetId="13" r:id="rId10"/>
    <sheet name="EnmDrop" sheetId="14" r:id="rId11"/>
    <sheet name="EnmMotionCollision" sheetId="43" r:id="rId12"/>
    <sheet name="EnmTransform" sheetId="22" r:id="rId13"/>
    <sheet name="ItemBase" sheetId="23" r:id="rId14"/>
    <sheet name="DamageItemData" sheetId="24" r:id="rId15"/>
    <sheet name="HealItemData" sheetId="16" r:id="rId16"/>
    <sheet name="EquipmentData" sheetId="25" r:id="rId17"/>
    <sheet name="SkillBase" sheetId="44" r:id="rId18"/>
    <sheet name="AttackSkill" sheetId="49" r:id="rId19"/>
    <sheet name="BuffSkill" sheetId="48" r:id="rId20"/>
    <sheet name="EffectData" sheetId="46" r:id="rId21"/>
    <sheet name="MusicData" sheetId="45" r:id="rId22"/>
    <sheet name="SoundData" sheetId="47" r:id="rId23"/>
    <sheet name="EventData" sheetId="50" r:id="rId24"/>
    <sheet name="Item_Reference" sheetId="18" r:id="rId25"/>
    <sheet name="Chara_Reference" sheetId="19" r:id="rId26"/>
    <sheet name="TerrainMesh" sheetId="36" r:id="rId27"/>
    <sheet name="Terrain_Reference" sheetId="37" r:id="rId28"/>
    <sheet name="Skill_Reference" sheetId="21" r:id="rId29"/>
    <sheet name="Output" sheetId="27" r:id="rId30"/>
  </sheets>
  <externalReferences>
    <externalReference r:id="rId31"/>
  </externalReferences>
  <definedNames>
    <definedName name="NPC名" comment="NPC名のプルダウン用">Chara_Reference!$B$27</definedName>
    <definedName name="NPC名_ID" comment="NPC名からIDを引く用">Chara_Reference!$B$27:$C$27</definedName>
    <definedName name="アイテムタイプ名" comment="アイテムタイプ名のプルダウン用">Item_Reference!$E$3:$E$6</definedName>
    <definedName name="アイテムタイプ名_ID" comment="アイテムタイプ名からIDを引く用">Item_Reference!$E$3:$F$6</definedName>
    <definedName name="アイテム効果範囲名" comment="アイテム効果範囲名のプルダウン用">Item_Reference!$H$7:$H$9</definedName>
    <definedName name="アイテム効果範囲名_ID" comment="アイテム効果範囲名からIDを引く用">Item_Reference!$H$7:$I$9</definedName>
    <definedName name="アイテム効果量名" comment="アイテム効果量名のプルダウン用">Item_Reference!$H$12:$H$13</definedName>
    <definedName name="アイテム効果量名_ID" comment="アイテム効果量名からIDを引く用">Item_Reference!$H$12:$I$13</definedName>
    <definedName name="アイテム対象名" comment="アイテム対象名のプルダウン用">Item_Reference!$H$3:$H$4</definedName>
    <definedName name="アイテム対象名_ID" comment="アイテム対象名からＩDを引く用">Item_Reference!$H$3:$I$4</definedName>
    <definedName name="アイテム名" comment="アイテム名のプルダウン用">Item_Reference!$B$2:$B$12</definedName>
    <definedName name="アイテム名_ID" comment="アイテム名からIDを引く用">Item_Reference!$B$3:$C$12</definedName>
    <definedName name="エフェクト名">EffectData!$A$2:$A$10</definedName>
    <definedName name="エフェクト名_ID">EffectData!$A$2:$B$10</definedName>
    <definedName name="サウンド名">SoundData!$A$2:$A$16</definedName>
    <definedName name="サウンド名_ID">SoundData!$A$2:$B$16</definedName>
    <definedName name="スキルタイプ名">Skill_Reference!$B$3:$B$5</definedName>
    <definedName name="スキルタイプ名_ID">Skill_Reference!$B$3:$C$5</definedName>
    <definedName name="スキル効果割合名">Skill_Reference!$K$3:$K$4</definedName>
    <definedName name="スキル効果割合名_ID">Skill_Reference!$K$3:$L$4</definedName>
    <definedName name="スキル対象数名">Skill_Reference!$H$3:$H$4</definedName>
    <definedName name="スキル対象数名_ID">Skill_Reference!$H$3:$I$4</definedName>
    <definedName name="スキル対象名">Skill_Reference!$E$3:$E$5</definedName>
    <definedName name="スキル対象名_ID">Skill_Reference!$E$3:$F$5</definedName>
    <definedName name="スキル名">SkillBase!$A$2:$A$4</definedName>
    <definedName name="スキル名_ID">SkillBase!$A$2:$B$4</definedName>
    <definedName name="プレイヤー名" comment="プレイヤーの名前のプルダウン用">Chara_Reference!$B$16:$B$17</definedName>
    <definedName name="プレイヤー名_ID" comment="プレイヤー名からIDを引くよう">Chara_Reference!$B$16:$C$17</definedName>
    <definedName name="モーション名" comment="モーション名プルダウン用">Chara_Reference!$H$16:$H$27</definedName>
    <definedName name="モーション名_ID" comment="モーション名からIDを引くよう">Chara_Reference!$H$16:$I$27</definedName>
    <definedName name="装備可能名" comment="装備可能名のプルダウン用">Item_Reference!$N$3:$N$4</definedName>
    <definedName name="装備品種類名" comment="装備品種類名のプルダウン用">Item_Reference!$K$3:$K$4</definedName>
    <definedName name="装備品種類名_ID" comment="装備品種類名からIDを引く用">Item_Reference!$K$3:$L$4</definedName>
    <definedName name="地形IDリスト">[1]Reference!$B$4:$C$7</definedName>
    <definedName name="地形名" comment="地形名のプルダウン用">Terrain_Reference!$B$4</definedName>
    <definedName name="地形名_ID">Terrain_Reference!$B$4:$C$4</definedName>
    <definedName name="地形名前リスト">[1]Reference!$B$4:$B$7</definedName>
    <definedName name="敵タイプ" comment="敵タイプのプルダウン用">Chara_Reference!$K$15:$K$16</definedName>
    <definedName name="敵タイプ_ID" comment="敵タイプからIDを引くよう">Chara_Reference!$K$15:$L$16</definedName>
    <definedName name="敵名" comment="敵の名前のプルダウン用">Chara_Reference!$E$16:$E$18</definedName>
    <definedName name="敵名_ID" comment="敵名からIDを引くよう">Chara_Reference!$E$16:$F$18</definedName>
  </definedNames>
  <calcPr calcId="191029"/>
  <fileRecoveryPr repairLoad="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4" i="50" l="1"/>
  <c r="B3" i="50"/>
  <c r="D3" i="20"/>
  <c r="B3" i="20"/>
  <c r="B4" i="20"/>
  <c r="B16" i="47"/>
  <c r="B10" i="46"/>
  <c r="K4" i="44"/>
  <c r="M4" i="44"/>
  <c r="O4" i="44"/>
  <c r="I4" i="44"/>
  <c r="G4" i="44"/>
  <c r="B2" i="49"/>
  <c r="B9" i="46"/>
  <c r="B4" i="46"/>
  <c r="B5" i="46" s="1"/>
  <c r="B6" i="46" s="1"/>
  <c r="B7" i="46" s="1"/>
  <c r="B8" i="46" s="1"/>
  <c r="B3" i="46"/>
  <c r="D4" i="20"/>
  <c r="D2" i="20"/>
  <c r="B2" i="20"/>
  <c r="B3" i="48"/>
  <c r="B2" i="48"/>
  <c r="C5" i="21"/>
  <c r="L2" i="24"/>
  <c r="L3" i="16"/>
  <c r="L2" i="16"/>
  <c r="N2" i="16"/>
  <c r="B3" i="44"/>
  <c r="B4" i="44"/>
  <c r="O3" i="44"/>
  <c r="O2" i="44"/>
  <c r="B3" i="47"/>
  <c r="B4" i="47" s="1"/>
  <c r="B5" i="47" s="1"/>
  <c r="B6" i="47" s="1"/>
  <c r="B7" i="47" s="1"/>
  <c r="B8" i="47" s="1"/>
  <c r="B9" i="47" s="1"/>
  <c r="B10" i="47" s="1"/>
  <c r="B11" i="47" s="1"/>
  <c r="B12" i="47" s="1"/>
  <c r="B13" i="47" s="1"/>
  <c r="B14" i="47" s="1"/>
  <c r="B15" i="47" s="1"/>
  <c r="B4" i="45"/>
  <c r="B5" i="45" s="1"/>
  <c r="B6" i="45" s="1"/>
  <c r="B7" i="45" s="1"/>
  <c r="B3" i="45"/>
  <c r="B11" i="46"/>
  <c r="B12" i="46"/>
  <c r="B13" i="46"/>
  <c r="K3" i="44"/>
  <c r="K2" i="44"/>
  <c r="I3" i="44"/>
  <c r="I2" i="44"/>
  <c r="G3" i="44"/>
  <c r="G2" i="44"/>
  <c r="E4" i="44"/>
  <c r="E3" i="44"/>
  <c r="E2" i="44"/>
  <c r="B3" i="43"/>
  <c r="D3" i="43"/>
  <c r="B4" i="13"/>
  <c r="B7" i="3"/>
  <c r="B8" i="3"/>
  <c r="D15" i="3"/>
  <c r="D4" i="36"/>
  <c r="D3" i="36"/>
  <c r="B3" i="42"/>
  <c r="B7" i="41"/>
  <c r="B2" i="41"/>
  <c r="B3" i="40"/>
  <c r="B3" i="38"/>
  <c r="D2" i="38"/>
  <c r="B2" i="38"/>
  <c r="D4" i="14"/>
  <c r="D2" i="36"/>
  <c r="B2" i="36"/>
  <c r="B3" i="36" s="1"/>
  <c r="B4" i="36" s="1"/>
  <c r="C7" i="37"/>
  <c r="C6" i="37"/>
  <c r="K3" i="35"/>
  <c r="B3" i="35"/>
  <c r="K3" i="22"/>
  <c r="D2" i="14"/>
  <c r="D2" i="25"/>
  <c r="L4" i="18"/>
  <c r="D3" i="25" s="1"/>
  <c r="B2" i="25"/>
  <c r="H2" i="24"/>
  <c r="F2" i="24"/>
  <c r="D2" i="24"/>
  <c r="B2" i="24"/>
  <c r="H3" i="16"/>
  <c r="H2" i="16"/>
  <c r="F3" i="16"/>
  <c r="F2" i="16"/>
  <c r="D3" i="16"/>
  <c r="D2" i="16"/>
  <c r="I13" i="18"/>
  <c r="I4" i="18"/>
  <c r="I8" i="18"/>
  <c r="I9" i="18" s="1"/>
  <c r="B2" i="16"/>
  <c r="B6" i="23"/>
  <c r="B5" i="23"/>
  <c r="D3" i="23"/>
  <c r="B4" i="23"/>
  <c r="D2" i="23"/>
  <c r="F4" i="18"/>
  <c r="D4" i="23" s="1"/>
  <c r="B2" i="23"/>
  <c r="C11" i="18"/>
  <c r="B3" i="25" s="1"/>
  <c r="C4" i="18"/>
  <c r="B3" i="23" s="1"/>
  <c r="B5" i="14"/>
  <c r="B6" i="14"/>
  <c r="B7" i="14"/>
  <c r="B8" i="14"/>
  <c r="B9" i="14"/>
  <c r="B10" i="14"/>
  <c r="B11" i="14"/>
  <c r="B12" i="14"/>
  <c r="B13" i="14"/>
  <c r="B14" i="14"/>
  <c r="B15" i="14"/>
  <c r="B16" i="14"/>
  <c r="B17" i="14"/>
  <c r="B18" i="14"/>
  <c r="B19" i="14"/>
  <c r="B20" i="14"/>
  <c r="B21" i="14"/>
  <c r="B22" i="14"/>
  <c r="B23" i="14"/>
  <c r="B24" i="14"/>
  <c r="B25" i="14"/>
  <c r="B26" i="14"/>
  <c r="B27" i="14"/>
  <c r="B28" i="14"/>
  <c r="B29" i="14"/>
  <c r="B30" i="14"/>
  <c r="K4" i="22"/>
  <c r="K5" i="22"/>
  <c r="B3" i="22"/>
  <c r="I4" i="21"/>
  <c r="L4" i="21"/>
  <c r="F4" i="21"/>
  <c r="F5" i="21" s="1"/>
  <c r="C4" i="21"/>
  <c r="B6" i="3"/>
  <c r="D10" i="3"/>
  <c r="D11" i="3"/>
  <c r="D13" i="3"/>
  <c r="D14" i="3"/>
  <c r="I18" i="19"/>
  <c r="I19" i="19" s="1"/>
  <c r="I20" i="19" s="1"/>
  <c r="I21" i="19" s="1"/>
  <c r="I22" i="19" s="1"/>
  <c r="I23" i="19" s="1"/>
  <c r="I24" i="19" s="1"/>
  <c r="I25" i="19" s="1"/>
  <c r="I26" i="19" s="1"/>
  <c r="I27" i="19" s="1"/>
  <c r="I17" i="19"/>
  <c r="D3" i="38" s="1"/>
  <c r="D3" i="12"/>
  <c r="D4" i="12"/>
  <c r="D2" i="12"/>
  <c r="B2" i="12"/>
  <c r="D16" i="13"/>
  <c r="B2" i="14"/>
  <c r="D9" i="13"/>
  <c r="D10" i="13"/>
  <c r="D2" i="13"/>
  <c r="B3" i="13"/>
  <c r="B5" i="13"/>
  <c r="B6" i="13"/>
  <c r="B9" i="13"/>
  <c r="B2" i="13"/>
  <c r="D2" i="3"/>
  <c r="B3" i="3"/>
  <c r="B4" i="3"/>
  <c r="B5" i="3"/>
  <c r="B9" i="3"/>
  <c r="B13" i="3"/>
  <c r="B2" i="3"/>
  <c r="B2" i="2"/>
  <c r="C19" i="19"/>
  <c r="C18" i="19"/>
  <c r="F17" i="19"/>
  <c r="B3" i="14" s="1"/>
  <c r="C17" i="19"/>
  <c r="B17" i="3" s="1"/>
  <c r="N3" i="16" l="1"/>
  <c r="B3" i="2"/>
  <c r="B10" i="13"/>
  <c r="B15" i="13"/>
  <c r="D15" i="13"/>
  <c r="B14" i="3"/>
  <c r="B15" i="3"/>
  <c r="D20" i="13"/>
  <c r="B16" i="3"/>
  <c r="B11" i="3"/>
  <c r="D17" i="3"/>
  <c r="B4" i="35"/>
  <c r="D16" i="3"/>
  <c r="D21" i="13"/>
  <c r="D4" i="43"/>
  <c r="D3" i="42"/>
  <c r="D8" i="3"/>
  <c r="D12" i="3"/>
  <c r="B4" i="42"/>
  <c r="D7" i="3"/>
  <c r="B4" i="43"/>
  <c r="D4" i="42"/>
  <c r="D5" i="43"/>
  <c r="B12" i="13"/>
  <c r="D6" i="3"/>
  <c r="B4" i="22"/>
  <c r="D4" i="13"/>
  <c r="B7" i="23"/>
  <c r="F5" i="18"/>
  <c r="B3" i="16"/>
  <c r="D3" i="14"/>
  <c r="D11" i="13"/>
  <c r="B11" i="13"/>
  <c r="D12" i="13"/>
  <c r="B12" i="3"/>
  <c r="B10" i="3"/>
  <c r="D4" i="3"/>
  <c r="D3" i="3"/>
  <c r="D5" i="13"/>
  <c r="F18" i="19"/>
  <c r="B3" i="12"/>
  <c r="B14" i="13"/>
  <c r="D3" i="13"/>
  <c r="D18" i="13"/>
  <c r="B13" i="13"/>
  <c r="D17" i="13"/>
  <c r="N2" i="24" l="1"/>
  <c r="B5" i="43"/>
  <c r="B21" i="13"/>
  <c r="B4" i="14"/>
  <c r="B20" i="13"/>
  <c r="B5" i="22"/>
  <c r="F6" i="18"/>
  <c r="D5" i="23"/>
  <c r="B18" i="13"/>
  <c r="B19" i="13"/>
  <c r="B4" i="12"/>
  <c r="B16" i="13"/>
  <c r="B17" i="13"/>
  <c r="M2" i="44" l="1"/>
  <c r="D7" i="23"/>
  <c r="D6" i="23"/>
  <c r="D13" i="13"/>
  <c r="D19" i="13"/>
  <c r="D6" i="13"/>
  <c r="D5" i="3"/>
  <c r="M3" i="44" l="1"/>
  <c r="D14" i="13"/>
  <c r="D9" i="3" l="1"/>
</calcChain>
</file>

<file path=xl/sharedStrings.xml><?xml version="1.0" encoding="utf-8"?>
<sst xmlns="http://schemas.openxmlformats.org/spreadsheetml/2006/main" count="612" uniqueCount="318">
  <si>
    <t>#AGI</t>
    <phoneticPr fontId="18"/>
  </si>
  <si>
    <t>#VIT</t>
    <phoneticPr fontId="18"/>
  </si>
  <si>
    <t>#STR</t>
    <phoneticPr fontId="18"/>
  </si>
  <si>
    <t>#MP</t>
    <phoneticPr fontId="18"/>
  </si>
  <si>
    <t>#HP</t>
    <phoneticPr fontId="18"/>
  </si>
  <si>
    <t>#名前</t>
    <rPh sb="1" eb="3">
      <t>ナマエ</t>
    </rPh>
    <phoneticPr fontId="18"/>
  </si>
  <si>
    <t>#名前ID</t>
    <rPh sb="1" eb="3">
      <t>ナマエ</t>
    </rPh>
    <phoneticPr fontId="18"/>
  </si>
  <si>
    <t>ID</t>
    <phoneticPr fontId="18"/>
  </si>
  <si>
    <t>種類</t>
    <rPh sb="0" eb="2">
      <t>シュルイ</t>
    </rPh>
    <phoneticPr fontId="18"/>
  </si>
  <si>
    <t>名前</t>
    <rPh sb="0" eb="2">
      <t>ナマエ</t>
    </rPh>
    <phoneticPr fontId="18"/>
  </si>
  <si>
    <r>
      <t>I</t>
    </r>
    <r>
      <rPr>
        <sz val="11"/>
        <color theme="1"/>
        <rFont val="Yu Gothic"/>
        <family val="2"/>
        <scheme val="minor"/>
      </rPr>
      <t>D</t>
    </r>
    <phoneticPr fontId="18"/>
  </si>
  <si>
    <t>モーション種類</t>
    <rPh sb="5" eb="7">
      <t>シュルイ</t>
    </rPh>
    <phoneticPr fontId="18"/>
  </si>
  <si>
    <t>キャラ種類</t>
    <rPh sb="3" eb="5">
      <t>シュルイ</t>
    </rPh>
    <phoneticPr fontId="18"/>
  </si>
  <si>
    <t>モンスターA</t>
  </si>
  <si>
    <t>モンスターB</t>
  </si>
  <si>
    <t>#ドロップ1</t>
    <phoneticPr fontId="18"/>
  </si>
  <si>
    <t>#ドロップ1ID</t>
    <phoneticPr fontId="18"/>
  </si>
  <si>
    <t>#ドロップ率(%)</t>
    <rPh sb="5" eb="6">
      <t>リツ</t>
    </rPh>
    <phoneticPr fontId="18"/>
  </si>
  <si>
    <t>#ドロップ2</t>
    <phoneticPr fontId="18"/>
  </si>
  <si>
    <t>#ドロップ2ID</t>
    <phoneticPr fontId="18"/>
  </si>
  <si>
    <t>#ドロップ3</t>
    <phoneticPr fontId="18"/>
  </si>
  <si>
    <t>#ドロップ3ID</t>
    <phoneticPr fontId="18"/>
  </si>
  <si>
    <t>敵種類</t>
    <rPh sb="0" eb="3">
      <t>テキシュルイ</t>
    </rPh>
    <phoneticPr fontId="18"/>
  </si>
  <si>
    <t>モンスターA</t>
    <phoneticPr fontId="18"/>
  </si>
  <si>
    <t>モンスターB</t>
    <phoneticPr fontId="18"/>
  </si>
  <si>
    <t>#アイテム名</t>
    <phoneticPr fontId="18"/>
  </si>
  <si>
    <t>potion.png</t>
    <phoneticPr fontId="18"/>
  </si>
  <si>
    <t>magic_potion.png</t>
    <phoneticPr fontId="18"/>
  </si>
  <si>
    <t>bomb.png</t>
    <phoneticPr fontId="18"/>
  </si>
  <si>
    <t>#ダメージ</t>
  </si>
  <si>
    <t>o</t>
  </si>
  <si>
    <t>#防具</t>
    <rPh sb="1" eb="3">
      <t>ボウグ</t>
    </rPh>
    <phoneticPr fontId="18"/>
  </si>
  <si>
    <t>beginners_armor.png</t>
    <phoneticPr fontId="18"/>
  </si>
  <si>
    <t>o</t>
    <phoneticPr fontId="18"/>
  </si>
  <si>
    <t>beginners_sword.png</t>
    <phoneticPr fontId="18"/>
  </si>
  <si>
    <t>#素早さ</t>
    <rPh sb="1" eb="3">
      <t>スバヤ</t>
    </rPh>
    <phoneticPr fontId="18"/>
  </si>
  <si>
    <t>#防御力</t>
    <rPh sb="1" eb="3">
      <t>ボウギョ</t>
    </rPh>
    <rPh sb="3" eb="4">
      <t>リョク</t>
    </rPh>
    <phoneticPr fontId="18"/>
  </si>
  <si>
    <t>#攻撃力</t>
    <rPh sb="1" eb="3">
      <t>コウゲキ</t>
    </rPh>
    <rPh sb="3" eb="4">
      <t>リョク</t>
    </rPh>
    <phoneticPr fontId="18"/>
  </si>
  <si>
    <t>#装備種類ID</t>
    <rPh sb="1" eb="5">
      <t>ソウビシュルイ</t>
    </rPh>
    <phoneticPr fontId="18"/>
  </si>
  <si>
    <t>#装備種類</t>
    <rPh sb="1" eb="5">
      <t>ソウビシュルイ</t>
    </rPh>
    <phoneticPr fontId="18"/>
  </si>
  <si>
    <t>#アイコンファイル名</t>
    <rPh sb="9" eb="10">
      <t>メイ</t>
    </rPh>
    <phoneticPr fontId="18"/>
  </si>
  <si>
    <t>#アイテム名ID</t>
    <phoneticPr fontId="18"/>
  </si>
  <si>
    <t>回復薬</t>
    <rPh sb="0" eb="3">
      <t>カイフクヤク</t>
    </rPh>
    <phoneticPr fontId="17"/>
  </si>
  <si>
    <t>魔法薬</t>
    <rPh sb="0" eb="3">
      <t>マホウヤク</t>
    </rPh>
    <phoneticPr fontId="17"/>
  </si>
  <si>
    <t>爆弾</t>
    <rPh sb="0" eb="2">
      <t>バクダン</t>
    </rPh>
    <phoneticPr fontId="17"/>
  </si>
  <si>
    <t>初心者用の剣</t>
    <phoneticPr fontId="17"/>
  </si>
  <si>
    <t>初心者用の鎧</t>
    <phoneticPr fontId="17"/>
  </si>
  <si>
    <t>ボスモンスター</t>
  </si>
  <si>
    <t>ボスモンスター</t>
    <phoneticPr fontId="18"/>
  </si>
  <si>
    <t>#タイプ</t>
    <phoneticPr fontId="17"/>
  </si>
  <si>
    <t>#タイプID</t>
    <phoneticPr fontId="17"/>
  </si>
  <si>
    <t>敵タイプ</t>
    <rPh sb="0" eb="1">
      <t>テキ</t>
    </rPh>
    <phoneticPr fontId="17"/>
  </si>
  <si>
    <t>#スキル名</t>
    <rPh sb="4" eb="5">
      <t>メイ</t>
    </rPh>
    <phoneticPr fontId="17"/>
  </si>
  <si>
    <t>#スキルID</t>
    <phoneticPr fontId="17"/>
  </si>
  <si>
    <t>タイプ</t>
    <phoneticPr fontId="17"/>
  </si>
  <si>
    <t>ID</t>
    <phoneticPr fontId="17"/>
  </si>
  <si>
    <t>対象</t>
    <rPh sb="0" eb="2">
      <t>タイショウ</t>
    </rPh>
    <phoneticPr fontId="17"/>
  </si>
  <si>
    <t xml:space="preserve">ID </t>
    <phoneticPr fontId="17"/>
  </si>
  <si>
    <t>効果割合</t>
    <rPh sb="0" eb="4">
      <t>コウカワリアイ</t>
    </rPh>
    <phoneticPr fontId="17"/>
  </si>
  <si>
    <t>#バフ</t>
    <phoneticPr fontId="17"/>
  </si>
  <si>
    <t>#デバフ</t>
    <phoneticPr fontId="17"/>
  </si>
  <si>
    <t>#なし</t>
    <phoneticPr fontId="17"/>
  </si>
  <si>
    <t>#味方</t>
    <rPh sb="1" eb="3">
      <t>ミカタ</t>
    </rPh>
    <phoneticPr fontId="17"/>
  </si>
  <si>
    <t>#敵</t>
    <rPh sb="1" eb="2">
      <t>テキ</t>
    </rPh>
    <phoneticPr fontId="17"/>
  </si>
  <si>
    <t>#固定値</t>
    <rPh sb="1" eb="4">
      <t>コテイチ</t>
    </rPh>
    <phoneticPr fontId="17"/>
  </si>
  <si>
    <t>#割合</t>
    <rPh sb="1" eb="3">
      <t>ワリアイ</t>
    </rPh>
    <phoneticPr fontId="17"/>
  </si>
  <si>
    <t>対象数</t>
    <rPh sb="0" eb="3">
      <t>タイショウスウ</t>
    </rPh>
    <phoneticPr fontId="17"/>
  </si>
  <si>
    <t>攻撃力アップ</t>
    <rPh sb="0" eb="3">
      <t>コウゲキリョク</t>
    </rPh>
    <phoneticPr fontId="17"/>
  </si>
  <si>
    <t>#消費MP</t>
    <rPh sb="1" eb="3">
      <t>ショウヒ</t>
    </rPh>
    <phoneticPr fontId="17"/>
  </si>
  <si>
    <t>#単体</t>
    <rPh sb="1" eb="3">
      <t>タンタイ</t>
    </rPh>
    <phoneticPr fontId="17"/>
  </si>
  <si>
    <t>#全体</t>
    <rPh sb="1" eb="3">
      <t>ゼンタイ</t>
    </rPh>
    <phoneticPr fontId="17"/>
  </si>
  <si>
    <t>#対象</t>
    <rPh sb="1" eb="3">
      <t>タイショウ</t>
    </rPh>
    <phoneticPr fontId="17"/>
  </si>
  <si>
    <t>#対象ID</t>
    <rPh sb="1" eb="3">
      <t>タイショウ</t>
    </rPh>
    <phoneticPr fontId="17"/>
  </si>
  <si>
    <t>#対象数</t>
    <rPh sb="1" eb="4">
      <t>タイショウスウ</t>
    </rPh>
    <phoneticPr fontId="17"/>
  </si>
  <si>
    <t>#対象数ID</t>
    <rPh sb="1" eb="4">
      <t>タイショウスウ</t>
    </rPh>
    <phoneticPr fontId="17"/>
  </si>
  <si>
    <t>#攻撃効果量</t>
    <rPh sb="1" eb="3">
      <t>コウゲキ</t>
    </rPh>
    <rPh sb="3" eb="6">
      <t>コウカリョウ</t>
    </rPh>
    <phoneticPr fontId="17"/>
  </si>
  <si>
    <t>#防御効果量</t>
    <rPh sb="1" eb="3">
      <t>ボウギョ</t>
    </rPh>
    <phoneticPr fontId="17"/>
  </si>
  <si>
    <t>パラディン</t>
  </si>
  <si>
    <t>パラディン</t>
    <phoneticPr fontId="18"/>
  </si>
  <si>
    <t>エリカ</t>
  </si>
  <si>
    <t>エリカ</t>
    <phoneticPr fontId="18"/>
  </si>
  <si>
    <t>Erika/idle.fbx</t>
    <phoneticPr fontId="18"/>
  </si>
  <si>
    <t>Erika/run.fbx</t>
    <phoneticPr fontId="18"/>
  </si>
  <si>
    <t>Erika/00_erika.fbx</t>
    <phoneticPr fontId="18"/>
  </si>
  <si>
    <t>Erika/attack.fbx</t>
    <phoneticPr fontId="18"/>
  </si>
  <si>
    <t>Erika/guard.fbx</t>
    <phoneticPr fontId="17"/>
  </si>
  <si>
    <t>Erika/use_item.fbx</t>
    <phoneticPr fontId="18"/>
  </si>
  <si>
    <t>Paladin/00_paladin.fbx</t>
    <phoneticPr fontId="18"/>
  </si>
  <si>
    <t>Paladin/idle.fbx</t>
    <phoneticPr fontId="18"/>
  </si>
  <si>
    <t>Paladin/run.fbx</t>
    <phoneticPr fontId="18"/>
  </si>
  <si>
    <t>Paladin/attack.fbx</t>
    <phoneticPr fontId="18"/>
  </si>
  <si>
    <t>Paladin/guard.fbx</t>
    <phoneticPr fontId="18"/>
  </si>
  <si>
    <t>Paladin/use_item.fbx</t>
    <phoneticPr fontId="18"/>
  </si>
  <si>
    <t>#名前</t>
    <rPh sb="1" eb="3">
      <t>ナマエ</t>
    </rPh>
    <phoneticPr fontId="17"/>
  </si>
  <si>
    <t>#ID</t>
    <phoneticPr fontId="17"/>
  </si>
  <si>
    <t>#座標</t>
    <rPh sb="1" eb="3">
      <t>ザヒョウ</t>
    </rPh>
    <phoneticPr fontId="17"/>
  </si>
  <si>
    <t>#X</t>
    <phoneticPr fontId="17"/>
  </si>
  <si>
    <t>#Y</t>
    <phoneticPr fontId="17"/>
  </si>
  <si>
    <t>#Z</t>
    <phoneticPr fontId="17"/>
  </si>
  <si>
    <t>#スケール</t>
    <phoneticPr fontId="17"/>
  </si>
  <si>
    <t>#回転</t>
    <rPh sb="1" eb="3">
      <t>カイテン</t>
    </rPh>
    <phoneticPr fontId="17"/>
  </si>
  <si>
    <t>#デバフ</t>
  </si>
  <si>
    <t>討伐の証</t>
    <rPh sb="0" eb="2">
      <t>トウバツ</t>
    </rPh>
    <rPh sb="3" eb="4">
      <t>アカシ</t>
    </rPh>
    <phoneticPr fontId="17"/>
  </si>
  <si>
    <t>#タイプ</t>
    <phoneticPr fontId="18"/>
  </si>
  <si>
    <t>#タイプID</t>
    <phoneticPr fontId="18"/>
  </si>
  <si>
    <t>#装備系</t>
    <rPh sb="1" eb="4">
      <t>ソウビケイ</t>
    </rPh>
    <phoneticPr fontId="17"/>
  </si>
  <si>
    <t>#フィールド使用系</t>
    <rPh sb="6" eb="9">
      <t>シヨウケイ</t>
    </rPh>
    <phoneticPr fontId="17"/>
  </si>
  <si>
    <t>初心者用の剣</t>
  </si>
  <si>
    <t>初心者用の鎧</t>
  </si>
  <si>
    <t>#アイテムタイプ</t>
    <phoneticPr fontId="17"/>
  </si>
  <si>
    <t>#回復</t>
    <rPh sb="1" eb="3">
      <t>カイフク</t>
    </rPh>
    <phoneticPr fontId="17"/>
  </si>
  <si>
    <t>#フィールド使用</t>
    <rPh sb="6" eb="8">
      <t>シヨウ</t>
    </rPh>
    <phoneticPr fontId="17"/>
  </si>
  <si>
    <t>#装備</t>
    <rPh sb="1" eb="3">
      <t>ソウビ</t>
    </rPh>
    <phoneticPr fontId="17"/>
  </si>
  <si>
    <t>#ダメージ</t>
    <phoneticPr fontId="17"/>
  </si>
  <si>
    <t>subdue_proof.png</t>
    <phoneticPr fontId="17"/>
  </si>
  <si>
    <t>#情報</t>
    <rPh sb="1" eb="3">
      <t>ジョウホウ</t>
    </rPh>
    <phoneticPr fontId="17"/>
  </si>
  <si>
    <t>HPを15回復する</t>
    <rPh sb="5" eb="7">
      <t>カイフク</t>
    </rPh>
    <phoneticPr fontId="17"/>
  </si>
  <si>
    <t>MPを5回復する</t>
    <rPh sb="4" eb="6">
      <t>カイフク</t>
    </rPh>
    <phoneticPr fontId="17"/>
  </si>
  <si>
    <t>敵にダメージを与える</t>
    <rPh sb="0" eb="1">
      <t>テキ</t>
    </rPh>
    <rPh sb="7" eb="8">
      <t>アタ</t>
    </rPh>
    <phoneticPr fontId="17"/>
  </si>
  <si>
    <t>ボスを倒した証。使用するとタイトル画面に戻る</t>
    <rPh sb="8" eb="10">
      <t>シヨウ</t>
    </rPh>
    <rPh sb="17" eb="19">
      <t>ガメン</t>
    </rPh>
    <rPh sb="20" eb="21">
      <t>モド</t>
    </rPh>
    <phoneticPr fontId="17"/>
  </si>
  <si>
    <t>文字通り、初心者用の剣</t>
    <rPh sb="0" eb="3">
      <t>モジドオ</t>
    </rPh>
    <rPh sb="5" eb="9">
      <t>ショシンシャヨウ</t>
    </rPh>
    <rPh sb="10" eb="11">
      <t>ケン</t>
    </rPh>
    <phoneticPr fontId="17"/>
  </si>
  <si>
    <t>文字通り、初心者用の鎧</t>
    <rPh sb="10" eb="11">
      <t>ヨロイ</t>
    </rPh>
    <phoneticPr fontId="17"/>
  </si>
  <si>
    <t>#効果範囲</t>
    <rPh sb="1" eb="5">
      <t>コウカハンイ</t>
    </rPh>
    <phoneticPr fontId="17"/>
  </si>
  <si>
    <t>#グループ</t>
    <phoneticPr fontId="17"/>
  </si>
  <si>
    <t>#割合値</t>
    <rPh sb="1" eb="4">
      <t>ワリアイチ</t>
    </rPh>
    <phoneticPr fontId="17"/>
  </si>
  <si>
    <t>#効果量</t>
    <rPh sb="1" eb="3">
      <t>コウカ</t>
    </rPh>
    <rPh sb="3" eb="4">
      <t>リョウ</t>
    </rPh>
    <phoneticPr fontId="17"/>
  </si>
  <si>
    <t>#HPダメージ量</t>
    <rPh sb="7" eb="8">
      <t>リョウ</t>
    </rPh>
    <phoneticPr fontId="17"/>
  </si>
  <si>
    <t>#MPダメージ量</t>
    <phoneticPr fontId="17"/>
  </si>
  <si>
    <t>#HP回復量</t>
    <rPh sb="3" eb="6">
      <t>カイフクリョウ</t>
    </rPh>
    <phoneticPr fontId="17"/>
  </si>
  <si>
    <t>#MP回復量</t>
    <phoneticPr fontId="17"/>
  </si>
  <si>
    <t>#装備品種類</t>
    <rPh sb="1" eb="4">
      <t>ソウビヒン</t>
    </rPh>
    <rPh sb="4" eb="6">
      <t>シュルイ</t>
    </rPh>
    <phoneticPr fontId="17"/>
  </si>
  <si>
    <t>#武器</t>
    <rPh sb="1" eb="3">
      <t>ブキ</t>
    </rPh>
    <phoneticPr fontId="17"/>
  </si>
  <si>
    <t>#防具</t>
    <rPh sb="1" eb="3">
      <t>ボウグ</t>
    </rPh>
    <phoneticPr fontId="17"/>
  </si>
  <si>
    <t>#装備可能</t>
    <rPh sb="1" eb="5">
      <t>ソウビカノウ</t>
    </rPh>
    <phoneticPr fontId="17"/>
  </si>
  <si>
    <t>o</t>
    <phoneticPr fontId="17"/>
  </si>
  <si>
    <t>x</t>
    <phoneticPr fontId="17"/>
  </si>
  <si>
    <t>#エリカ</t>
    <phoneticPr fontId="17"/>
  </si>
  <si>
    <t>#パラディン</t>
    <phoneticPr fontId="17"/>
  </si>
  <si>
    <t>csv出力するシート</t>
    <rPh sb="3" eb="5">
      <t>シュツリョク</t>
    </rPh>
    <phoneticPr fontId="17"/>
  </si>
  <si>
    <t>#ID</t>
    <phoneticPr fontId="18"/>
  </si>
  <si>
    <t>#種類</t>
    <rPh sb="1" eb="3">
      <t>シュルイ</t>
    </rPh>
    <phoneticPr fontId="18"/>
  </si>
  <si>
    <t>#ファイル名</t>
    <rPh sb="5" eb="6">
      <t>メイ</t>
    </rPh>
    <phoneticPr fontId="18"/>
  </si>
  <si>
    <t>#MOB</t>
  </si>
  <si>
    <t>#MOB</t>
    <phoneticPr fontId="18"/>
  </si>
  <si>
    <t>#BOSS</t>
  </si>
  <si>
    <t>#BOSS</t>
    <phoneticPr fontId="18"/>
  </si>
  <si>
    <t>#DEFAULT</t>
  </si>
  <si>
    <t>#DEFAULT</t>
    <phoneticPr fontId="18"/>
  </si>
  <si>
    <t>#IDLE</t>
  </si>
  <si>
    <t>#IDLE</t>
    <phoneticPr fontId="18"/>
  </si>
  <si>
    <t>#WALK</t>
  </si>
  <si>
    <t>#WALK</t>
    <phoneticPr fontId="18"/>
  </si>
  <si>
    <t>#RUN</t>
  </si>
  <si>
    <t>#RUN</t>
    <phoneticPr fontId="18"/>
  </si>
  <si>
    <t>#ATTACK</t>
  </si>
  <si>
    <t>#ATTACK</t>
    <phoneticPr fontId="18"/>
  </si>
  <si>
    <t>#GUARD</t>
  </si>
  <si>
    <t>#GUARD</t>
    <phoneticPr fontId="17"/>
  </si>
  <si>
    <t>#DIE</t>
  </si>
  <si>
    <t>#DIE</t>
    <phoneticPr fontId="18"/>
  </si>
  <si>
    <t>#DAMAGE</t>
    <phoneticPr fontId="18"/>
  </si>
  <si>
    <t>#USEITEM</t>
  </si>
  <si>
    <t>#USEITEM</t>
    <phoneticPr fontId="18"/>
  </si>
  <si>
    <t>#UNIQUE1</t>
    <phoneticPr fontId="18"/>
  </si>
  <si>
    <t>#UNIQUE2</t>
    <phoneticPr fontId="18"/>
  </si>
  <si>
    <t>#UNIQUE3</t>
    <phoneticPr fontId="17"/>
  </si>
  <si>
    <t>開始X</t>
    <rPh sb="0" eb="2">
      <t>カイシ</t>
    </rPh>
    <phoneticPr fontId="17"/>
  </si>
  <si>
    <t xml:space="preserve">開始Y </t>
    <rPh sb="0" eb="2">
      <t>カイシ</t>
    </rPh>
    <phoneticPr fontId="17"/>
  </si>
  <si>
    <t>#座標</t>
    <phoneticPr fontId="17"/>
  </si>
  <si>
    <t>地形種類</t>
    <rPh sb="0" eb="2">
      <t>チケイ</t>
    </rPh>
    <rPh sb="2" eb="4">
      <t>シュルイ</t>
    </rPh>
    <phoneticPr fontId="18"/>
  </si>
  <si>
    <t>名称</t>
    <rPh sb="0" eb="2">
      <t>メイショウ</t>
    </rPh>
    <phoneticPr fontId="18"/>
  </si>
  <si>
    <t>遺跡</t>
    <rPh sb="0" eb="2">
      <t>イセキ</t>
    </rPh>
    <phoneticPr fontId="18"/>
  </si>
  <si>
    <t>FieldTerrain/FieldTerrain.fbx</t>
    <phoneticPr fontId="18"/>
  </si>
  <si>
    <t>NPC種類</t>
    <rPh sb="3" eb="5">
      <t>シュルイ</t>
    </rPh>
    <phoneticPr fontId="17"/>
  </si>
  <si>
    <t>名前</t>
    <rPh sb="0" eb="2">
      <t>ナマエ</t>
    </rPh>
    <phoneticPr fontId="17"/>
  </si>
  <si>
    <t>アリッサ</t>
  </si>
  <si>
    <t>アリッサ</t>
    <phoneticPr fontId="17"/>
  </si>
  <si>
    <t>Arissa/00_arissa.fbx</t>
    <phoneticPr fontId="17"/>
  </si>
  <si>
    <t>Arissa/idle.fbx</t>
    <phoneticPr fontId="17"/>
  </si>
  <si>
    <t>#何回目</t>
    <rPh sb="1" eb="4">
      <t>ナンカイメ</t>
    </rPh>
    <phoneticPr fontId="17"/>
  </si>
  <si>
    <t>…ん？お前たち1人分の装備しか持っていないようだな。それなら手前にいるやつらを先に倒して、奪われた私の装備を使うといい。</t>
    <rPh sb="4" eb="5">
      <t>マエ</t>
    </rPh>
    <rPh sb="8" eb="10">
      <t>リブン</t>
    </rPh>
    <rPh sb="11" eb="13">
      <t>ソウビ</t>
    </rPh>
    <rPh sb="15" eb="16">
      <t>モ</t>
    </rPh>
    <rPh sb="30" eb="32">
      <t>テマエ</t>
    </rPh>
    <rPh sb="39" eb="40">
      <t>サキ</t>
    </rPh>
    <rPh sb="41" eb="42">
      <t>タオ</t>
    </rPh>
    <rPh sb="45" eb="46">
      <t>ウバ</t>
    </rPh>
    <rPh sb="49" eb="50">
      <t>ワタシ</t>
    </rPh>
    <rPh sb="51" eb="53">
      <t>ソウビ</t>
    </rPh>
    <rPh sb="54" eb="55">
      <t>ツカ</t>
    </rPh>
    <phoneticPr fontId="17"/>
  </si>
  <si>
    <t>#フラグ</t>
    <phoneticPr fontId="17"/>
  </si>
  <si>
    <t>取り返してきてくれたんだな、ありがとう。あいつらを倒すなんてお前たち案外やるじゃないか。</t>
    <rPh sb="0" eb="1">
      <t>ト</t>
    </rPh>
    <rPh sb="2" eb="3">
      <t>カエ</t>
    </rPh>
    <rPh sb="25" eb="26">
      <t>タオ</t>
    </rPh>
    <rPh sb="31" eb="32">
      <t>マエ</t>
    </rPh>
    <rPh sb="34" eb="36">
      <t>アンガイ</t>
    </rPh>
    <phoneticPr fontId="17"/>
  </si>
  <si>
    <t>大事に使ってくれよ、それじゃあな。</t>
    <rPh sb="0" eb="2">
      <t>ダイジ</t>
    </rPh>
    <rPh sb="3" eb="4">
      <t>ツカ</t>
    </rPh>
    <phoneticPr fontId="17"/>
  </si>
  <si>
    <t>#テキスト数(行数)</t>
    <rPh sb="5" eb="6">
      <t>スウ</t>
    </rPh>
    <rPh sb="7" eb="9">
      <t>ギョウスウ</t>
    </rPh>
    <phoneticPr fontId="17"/>
  </si>
  <si>
    <t>よう、ちょうどいいところに来た。実はそこにいる敵たちに持ち物を奪われてしまってな。</t>
    <rPh sb="13" eb="14">
      <t>キ</t>
    </rPh>
    <rPh sb="16" eb="17">
      <t>ジツ</t>
    </rPh>
    <rPh sb="23" eb="24">
      <t>テキ</t>
    </rPh>
    <rPh sb="27" eb="28">
      <t>モ</t>
    </rPh>
    <rPh sb="29" eb="30">
      <t>モノ</t>
    </rPh>
    <rPh sb="31" eb="32">
      <t>ウバ</t>
    </rPh>
    <phoneticPr fontId="17"/>
  </si>
  <si>
    <t>手前にいる2体には装備を、奥にいる1体には私の宝物を奪われたんだ。あいつらを倒して取り返してきてはくれないだろうか。よろしく頼む。</t>
    <rPh sb="0" eb="2">
      <t>テマエ</t>
    </rPh>
    <rPh sb="6" eb="7">
      <t>タイ</t>
    </rPh>
    <rPh sb="9" eb="11">
      <t>ソウビ</t>
    </rPh>
    <rPh sb="13" eb="14">
      <t>オク</t>
    </rPh>
    <rPh sb="18" eb="19">
      <t>タイ</t>
    </rPh>
    <rPh sb="21" eb="22">
      <t>ワタシ</t>
    </rPh>
    <rPh sb="23" eb="25">
      <t>タカラモノ</t>
    </rPh>
    <rPh sb="26" eb="27">
      <t>ウバ</t>
    </rPh>
    <rPh sb="38" eb="39">
      <t>タオ</t>
    </rPh>
    <rPh sb="41" eb="42">
      <t>ト</t>
    </rPh>
    <rPh sb="43" eb="44">
      <t>カエ</t>
    </rPh>
    <rPh sb="62" eb="63">
      <t>タノ</t>
    </rPh>
    <phoneticPr fontId="17"/>
  </si>
  <si>
    <t>奥にいるやつは中々の手練れだからな、気を付けてかかれよ。</t>
    <rPh sb="0" eb="1">
      <t>オク</t>
    </rPh>
    <rPh sb="7" eb="12">
      <t>ナカナカノテダ</t>
    </rPh>
    <rPh sb="18" eb="19">
      <t>キ</t>
    </rPh>
    <rPh sb="20" eb="21">
      <t>ツ</t>
    </rPh>
    <phoneticPr fontId="17"/>
  </si>
  <si>
    <t>それはお前たちにあげるよ、あいつらを倒してくれたお礼だ。私も爽快だったからな。</t>
    <rPh sb="4" eb="5">
      <t>マエ</t>
    </rPh>
    <rPh sb="18" eb="19">
      <t>タオ</t>
    </rPh>
    <rPh sb="25" eb="26">
      <t>レイ</t>
    </rPh>
    <rPh sb="28" eb="29">
      <t>ワタシ</t>
    </rPh>
    <rPh sb="30" eb="32">
      <t>ソウカイ</t>
    </rPh>
    <phoneticPr fontId="17"/>
  </si>
  <si>
    <t>#ボーン名</t>
    <rPh sb="4" eb="5">
      <t>メイ</t>
    </rPh>
    <phoneticPr fontId="18"/>
  </si>
  <si>
    <t>#現在は球の当たり判定のみ対応</t>
    <rPh sb="1" eb="3">
      <t>ゲンザイ</t>
    </rPh>
    <rPh sb="4" eb="5">
      <t>キュウ</t>
    </rPh>
    <rPh sb="6" eb="7">
      <t>ア</t>
    </rPh>
    <rPh sb="9" eb="11">
      <t>ハンテイ</t>
    </rPh>
    <rPh sb="13" eb="15">
      <t>タイオウ</t>
    </rPh>
    <phoneticPr fontId="17"/>
  </si>
  <si>
    <t>#半径</t>
    <rPh sb="1" eb="3">
      <t>ハンケイ</t>
    </rPh>
    <phoneticPr fontId="17"/>
  </si>
  <si>
    <t>#開始F</t>
    <rPh sb="1" eb="3">
      <t>カイシ</t>
    </rPh>
    <phoneticPr fontId="17"/>
  </si>
  <si>
    <t>#終了F</t>
    <rPh sb="1" eb="3">
      <t>シュウリョウ</t>
    </rPh>
    <phoneticPr fontId="17"/>
  </si>
  <si>
    <t>#パラメータ</t>
    <phoneticPr fontId="17"/>
  </si>
  <si>
    <t>FieldTerrain/FieldTerrain_low.fbx</t>
    <phoneticPr fontId="18"/>
  </si>
  <si>
    <t>FieldTerrain/FieldTerrain_collision.fbx</t>
    <phoneticPr fontId="18"/>
  </si>
  <si>
    <t>#DAMAGE</t>
  </si>
  <si>
    <t>Paladin/damage.fbx</t>
    <phoneticPr fontId="18"/>
  </si>
  <si>
    <t>Paladin/death.fbx</t>
    <phoneticPr fontId="18"/>
  </si>
  <si>
    <t>Erika/death.fbx</t>
    <phoneticPr fontId="18"/>
  </si>
  <si>
    <t>Erika/damage.fbx</t>
    <phoneticPr fontId="18"/>
  </si>
  <si>
    <t>MonsterA/00_MonsterA.fbx</t>
    <phoneticPr fontId="18"/>
  </si>
  <si>
    <t>MonsterA/idle.fbx</t>
    <phoneticPr fontId="18"/>
  </si>
  <si>
    <t>MonsterA/run.fbx</t>
    <phoneticPr fontId="18"/>
  </si>
  <si>
    <t>MonsterA/attack.fbx</t>
    <phoneticPr fontId="18"/>
  </si>
  <si>
    <t>MonsterA/walk.fbx</t>
    <phoneticPr fontId="18"/>
  </si>
  <si>
    <t>MonsterA/death.fbx</t>
  </si>
  <si>
    <t>MonsterB/00_MonsterB.fbx</t>
    <phoneticPr fontId="18"/>
  </si>
  <si>
    <t>MonsterB/idle.fbx</t>
    <phoneticPr fontId="18"/>
  </si>
  <si>
    <t>MonsterB/walk.fbx</t>
    <phoneticPr fontId="18"/>
  </si>
  <si>
    <t>MonsterB/run.fbx</t>
    <phoneticPr fontId="18"/>
  </si>
  <si>
    <t>MonsterB/attack.fbx</t>
    <phoneticPr fontId="18"/>
  </si>
  <si>
    <t>MonsterB/death.fbx</t>
    <phoneticPr fontId="17"/>
  </si>
  <si>
    <t>MonsterA/damage.fbx</t>
  </si>
  <si>
    <t>MonsterB/damage.fbx</t>
    <phoneticPr fontId="17"/>
  </si>
  <si>
    <t>BossMonster/00_BossMonster.fbx</t>
    <phoneticPr fontId="17"/>
  </si>
  <si>
    <t>BossMonster/idle.fbx</t>
    <phoneticPr fontId="17"/>
  </si>
  <si>
    <t>BossMonster/run.fbx</t>
    <phoneticPr fontId="17"/>
  </si>
  <si>
    <t>BossMonster/attack.fbx</t>
    <phoneticPr fontId="17"/>
  </si>
  <si>
    <t>BossMonster/death.fbx</t>
    <phoneticPr fontId="17"/>
  </si>
  <si>
    <t>BossMonster/damage.fbx</t>
    <phoneticPr fontId="17"/>
  </si>
  <si>
    <t>Sword_joint_End</t>
  </si>
  <si>
    <t>RightToeBase</t>
    <phoneticPr fontId="17"/>
  </si>
  <si>
    <t>#サイズ</t>
    <phoneticPr fontId="17"/>
  </si>
  <si>
    <t>#直径</t>
    <rPh sb="1" eb="3">
      <t>チョッケイ</t>
    </rPh>
    <phoneticPr fontId="17"/>
  </si>
  <si>
    <t>RightHand</t>
  </si>
  <si>
    <t>Mutant:LeftHand</t>
  </si>
  <si>
    <t>mixamorig:RightHand</t>
  </si>
  <si>
    <t>#対象</t>
    <rPh sb="1" eb="3">
      <t>タイショウ</t>
    </rPh>
    <phoneticPr fontId="18"/>
  </si>
  <si>
    <t>#割合ID</t>
    <rPh sb="1" eb="3">
      <t>ワリアイ</t>
    </rPh>
    <phoneticPr fontId="17"/>
  </si>
  <si>
    <t>防御力ダウン</t>
    <rPh sb="0" eb="3">
      <t>ボウギョリョク</t>
    </rPh>
    <phoneticPr fontId="17"/>
  </si>
  <si>
    <t>味方全体の攻撃力を上げる</t>
    <rPh sb="0" eb="2">
      <t>ミカタ</t>
    </rPh>
    <rPh sb="2" eb="4">
      <t>ゼンタイ</t>
    </rPh>
    <rPh sb="5" eb="8">
      <t>コウゲキリョク</t>
    </rPh>
    <rPh sb="9" eb="10">
      <t>ア</t>
    </rPh>
    <phoneticPr fontId="17"/>
  </si>
  <si>
    <t>敵全体の防御力を下げる</t>
    <rPh sb="0" eb="1">
      <t>テキ</t>
    </rPh>
    <rPh sb="1" eb="3">
      <t>ゼンタイ</t>
    </rPh>
    <rPh sb="4" eb="7">
      <t>ボウギョリョク</t>
    </rPh>
    <rPh sb="8" eb="9">
      <t>サ</t>
    </rPh>
    <phoneticPr fontId="17"/>
  </si>
  <si>
    <t>#ファイル名</t>
    <rPh sb="5" eb="6">
      <t>メイ</t>
    </rPh>
    <phoneticPr fontId="17"/>
  </si>
  <si>
    <t>#ScaleMultiply</t>
    <phoneticPr fontId="17"/>
  </si>
  <si>
    <t>#SpeedMultiply</t>
    <phoneticPr fontId="17"/>
  </si>
  <si>
    <t>damage.efk</t>
    <phoneticPr fontId="17"/>
  </si>
  <si>
    <t>death.efk</t>
    <phoneticPr fontId="17"/>
  </si>
  <si>
    <t>bomb.efk</t>
    <phoneticPr fontId="17"/>
  </si>
  <si>
    <t>hp_heal.efk</t>
    <phoneticPr fontId="17"/>
  </si>
  <si>
    <t>mp_heal.efk</t>
    <phoneticPr fontId="17"/>
  </si>
  <si>
    <t>buff_atk.efk</t>
    <phoneticPr fontId="17"/>
  </si>
  <si>
    <t>debuff_def.efk</t>
    <phoneticPr fontId="17"/>
  </si>
  <si>
    <t>title.wav</t>
    <phoneticPr fontId="17"/>
  </si>
  <si>
    <t>field.wav</t>
    <phoneticPr fontId="17"/>
  </si>
  <si>
    <t>battle.wav</t>
    <phoneticPr fontId="17"/>
  </si>
  <si>
    <t>boss_battle.wav</t>
    <phoneticPr fontId="17"/>
  </si>
  <si>
    <t>result.wav</t>
    <phoneticPr fontId="17"/>
  </si>
  <si>
    <t>boss_result.wav</t>
    <phoneticPr fontId="17"/>
  </si>
  <si>
    <t>select.wav</t>
    <phoneticPr fontId="17"/>
  </si>
  <si>
    <t>select_long.wav</t>
    <phoneticPr fontId="17"/>
  </si>
  <si>
    <t>cancel.wav</t>
    <phoneticPr fontId="17"/>
  </si>
  <si>
    <t>cursor_move.wav</t>
    <phoneticPr fontId="17"/>
  </si>
  <si>
    <t>menu_open.wav</t>
    <phoneticPr fontId="17"/>
  </si>
  <si>
    <t>menu_close.wav</t>
    <phoneticPr fontId="17"/>
  </si>
  <si>
    <t>equip.wav</t>
    <phoneticPr fontId="17"/>
  </si>
  <si>
    <t>heal.wav</t>
    <phoneticPr fontId="17"/>
  </si>
  <si>
    <t>buff_atk.wav</t>
    <phoneticPr fontId="17"/>
  </si>
  <si>
    <t>debuff_def.wav</t>
    <phoneticPr fontId="17"/>
  </si>
  <si>
    <t>bomb.wav</t>
    <phoneticPr fontId="17"/>
  </si>
  <si>
    <t>attack_hit.wav</t>
    <phoneticPr fontId="17"/>
  </si>
  <si>
    <t>enemy_hit.wav</t>
    <phoneticPr fontId="17"/>
  </si>
  <si>
    <t>#効果音ID</t>
    <rPh sb="1" eb="4">
      <t>コウカオン</t>
    </rPh>
    <phoneticPr fontId="17"/>
  </si>
  <si>
    <t>death.wav</t>
    <phoneticPr fontId="17"/>
  </si>
  <si>
    <t>#SD_SELECT</t>
    <phoneticPr fontId="17"/>
  </si>
  <si>
    <t>#SD_SELECT_LONG</t>
    <phoneticPr fontId="17"/>
  </si>
  <si>
    <t>#SD_CANCEL</t>
    <phoneticPr fontId="17"/>
  </si>
  <si>
    <t>#SD_CURSOR_MOVE</t>
    <phoneticPr fontId="17"/>
  </si>
  <si>
    <t>#SD_MENU_OPEN</t>
    <phoneticPr fontId="17"/>
  </si>
  <si>
    <t>#SD_MENU_CLOSE</t>
    <phoneticPr fontId="17"/>
  </si>
  <si>
    <t>#SD_EQUIP</t>
    <phoneticPr fontId="17"/>
  </si>
  <si>
    <t>#SD_HEAL</t>
  </si>
  <si>
    <t>#SD_HEAL</t>
    <phoneticPr fontId="17"/>
  </si>
  <si>
    <t>#SD_BUFF_ATK</t>
  </si>
  <si>
    <t>#SD_BUFF_ATK</t>
    <phoneticPr fontId="17"/>
  </si>
  <si>
    <t>#SD_DEBUFF_DEF</t>
  </si>
  <si>
    <t>#SD_DEBUFF_DEF</t>
    <phoneticPr fontId="17"/>
  </si>
  <si>
    <t>#SD_BOMB</t>
  </si>
  <si>
    <t>#SD_BOMB</t>
    <phoneticPr fontId="17"/>
  </si>
  <si>
    <t>#SD_ATTACK_HIT</t>
    <phoneticPr fontId="17"/>
  </si>
  <si>
    <t>#SD_ENEMY_HIT</t>
    <phoneticPr fontId="17"/>
  </si>
  <si>
    <t>#SD_DEATH</t>
    <phoneticPr fontId="17"/>
  </si>
  <si>
    <t>#EF_DEATH</t>
    <phoneticPr fontId="17"/>
  </si>
  <si>
    <t>#EF_HP_HEAL</t>
  </si>
  <si>
    <t>#EF_MP_HEAL</t>
  </si>
  <si>
    <t>#EF_BOMB</t>
  </si>
  <si>
    <t>#EF_BUFF_ATK</t>
  </si>
  <si>
    <t>#EF_DEBUFF_DEF</t>
  </si>
  <si>
    <t>#EF_DAMAGE</t>
  </si>
  <si>
    <t>#エフェクト</t>
    <phoneticPr fontId="17"/>
  </si>
  <si>
    <t>#エフェクトID</t>
    <phoneticPr fontId="17"/>
  </si>
  <si>
    <t>#効果音</t>
    <rPh sb="1" eb="4">
      <t>コウカオン</t>
    </rPh>
    <phoneticPr fontId="17"/>
  </si>
  <si>
    <t>#サウンド</t>
    <phoneticPr fontId="17"/>
  </si>
  <si>
    <t>#サウンドID</t>
    <phoneticPr fontId="17"/>
  </si>
  <si>
    <t>#攻撃</t>
    <rPh sb="1" eb="3">
      <t>コウゲキ</t>
    </rPh>
    <phoneticPr fontId="17"/>
  </si>
  <si>
    <t>#ターン数</t>
    <rPh sb="4" eb="5">
      <t>スウ</t>
    </rPh>
    <phoneticPr fontId="17"/>
  </si>
  <si>
    <t>#スキル名ID</t>
    <rPh sb="4" eb="5">
      <t>メイ</t>
    </rPh>
    <phoneticPr fontId="17"/>
  </si>
  <si>
    <t>#EF_SELECT_TARGET</t>
    <phoneticPr fontId="17"/>
  </si>
  <si>
    <t>select_target.efk</t>
    <phoneticPr fontId="17"/>
  </si>
  <si>
    <t>#倍率(攻撃力参照)</t>
    <rPh sb="1" eb="3">
      <t>バイリツ</t>
    </rPh>
    <rPh sb="4" eb="7">
      <t>コウゲキリョク</t>
    </rPh>
    <rPh sb="7" eb="9">
      <t>サンショウ</t>
    </rPh>
    <phoneticPr fontId="17"/>
  </si>
  <si>
    <t>#ヒット数</t>
    <rPh sb="4" eb="5">
      <t>スウ</t>
    </rPh>
    <phoneticPr fontId="17"/>
  </si>
  <si>
    <t>コズミックミスト</t>
  </si>
  <si>
    <t>コズミックミスト</t>
    <phoneticPr fontId="17"/>
  </si>
  <si>
    <t>#EF_COSMIC_MIST</t>
  </si>
  <si>
    <t>#EF_COSMIC_MIST</t>
    <phoneticPr fontId="17"/>
  </si>
  <si>
    <t>cosmic_mist.efk</t>
    <phoneticPr fontId="17"/>
  </si>
  <si>
    <t>cosmic_mist.wav</t>
  </si>
  <si>
    <t>#SD_COSMIC_MIST</t>
  </si>
  <si>
    <t>#SD_COSMIC_MIST</t>
    <phoneticPr fontId="17"/>
  </si>
  <si>
    <t>敵単体に宇宙の綺麗さによる衝撃でダメージを与える</t>
    <rPh sb="0" eb="3">
      <t>テキタンタイ</t>
    </rPh>
    <rPh sb="4" eb="6">
      <t>ウチュウ</t>
    </rPh>
    <rPh sb="7" eb="9">
      <t>キレイ</t>
    </rPh>
    <rPh sb="13" eb="15">
      <t>ショウゲキ</t>
    </rPh>
    <rPh sb="21" eb="22">
      <t>アタ</t>
    </rPh>
    <phoneticPr fontId="17"/>
  </si>
  <si>
    <t>#filename</t>
    <phoneticPr fontId="17"/>
  </si>
  <si>
    <t>GAME_BEGIN</t>
    <phoneticPr fontId="17"/>
  </si>
  <si>
    <t>GAME_BEGIN_END</t>
    <phoneticPr fontId="17"/>
  </si>
  <si>
    <t>BOSS_ENCOUNT</t>
    <phoneticPr fontId="17"/>
  </si>
  <si>
    <t>event_000</t>
    <phoneticPr fontId="17"/>
  </si>
  <si>
    <t>EventData</t>
  </si>
  <si>
    <t>#EventName</t>
    <phoneticPr fontId="17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</si>
</sst>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6">
    <font>
      <sz val="11"/>
      <color theme="1"/>
      <name val="Yu Gothic"/>
      <family val="2"/>
      <scheme val="minor"/>
    </font>
    <font>
      <sz val="11"/>
      <color theme="1"/>
      <name val="Yu Gothic"/>
      <family val="2"/>
      <charset val="128"/>
      <scheme val="minor"/>
    </font>
    <font>
      <sz val="11"/>
      <color theme="1"/>
      <name val="Yu Gothic"/>
      <family val="2"/>
      <charset val="128"/>
      <scheme val="minor"/>
    </font>
    <font>
      <sz val="11"/>
      <color theme="1"/>
      <name val="Yu Gothic"/>
      <family val="2"/>
      <charset val="128"/>
      <scheme val="minor"/>
    </font>
    <font>
      <sz val="11"/>
      <color theme="1"/>
      <name val="Yu Gothic"/>
      <family val="2"/>
      <charset val="128"/>
      <scheme val="minor"/>
    </font>
    <font>
      <sz val="11"/>
      <color theme="1"/>
      <name val="Yu Gothic"/>
      <family val="2"/>
      <charset val="128"/>
      <scheme val="minor"/>
    </font>
    <font>
      <sz val="11"/>
      <color theme="1"/>
      <name val="Yu Gothic"/>
      <family val="2"/>
      <charset val="128"/>
      <scheme val="minor"/>
    </font>
    <font>
      <sz val="11"/>
      <color theme="1"/>
      <name val="Yu Gothic"/>
      <family val="2"/>
      <charset val="128"/>
      <scheme val="minor"/>
    </font>
    <font>
      <sz val="11"/>
      <color theme="1"/>
      <name val="Yu Gothic"/>
      <family val="2"/>
      <charset val="128"/>
      <scheme val="minor"/>
    </font>
    <font>
      <sz val="11"/>
      <color theme="1"/>
      <name val="Yu Gothic"/>
      <family val="2"/>
      <charset val="128"/>
      <scheme val="minor"/>
    </font>
    <font>
      <sz val="11"/>
      <color theme="1"/>
      <name val="Yu Gothic"/>
      <family val="2"/>
      <charset val="128"/>
      <scheme val="minor"/>
    </font>
    <font>
      <sz val="11"/>
      <color theme="1"/>
      <name val="Yu Gothic"/>
      <family val="2"/>
      <charset val="128"/>
      <scheme val="minor"/>
    </font>
    <font>
      <sz val="11"/>
      <color rgb="FF006100"/>
      <name val="Yu Gothic"/>
      <family val="2"/>
      <charset val="128"/>
      <scheme val="minor"/>
    </font>
    <font>
      <sz val="11"/>
      <color rgb="FF9C0006"/>
      <name val="Yu Gothic"/>
      <family val="2"/>
      <charset val="128"/>
      <scheme val="minor"/>
    </font>
    <font>
      <sz val="11"/>
      <color rgb="FF9C5700"/>
      <name val="Yu Gothic"/>
      <family val="2"/>
      <charset val="128"/>
      <scheme val="minor"/>
    </font>
    <font>
      <sz val="11"/>
      <color rgb="FF3F3F76"/>
      <name val="Yu Gothic"/>
      <family val="2"/>
      <charset val="128"/>
      <scheme val="minor"/>
    </font>
    <font>
      <b/>
      <sz val="11"/>
      <color rgb="FF3F3F3F"/>
      <name val="Yu Gothic"/>
      <family val="2"/>
      <charset val="128"/>
      <scheme val="minor"/>
    </font>
    <font>
      <sz val="6"/>
      <name val="Yu Gothic"/>
      <family val="3"/>
      <charset val="128"/>
      <scheme val="minor"/>
    </font>
    <font>
      <sz val="6"/>
      <name val="Yu Gothic"/>
      <family val="2"/>
      <charset val="128"/>
      <scheme val="minor"/>
    </font>
    <font>
      <b/>
      <sz val="11"/>
      <color theme="1"/>
      <name val="Yu Gothic"/>
      <family val="3"/>
      <charset val="128"/>
      <scheme val="minor"/>
    </font>
    <font>
      <sz val="11"/>
      <color rgb="FF3F3F3F"/>
      <name val="Yu Gothic"/>
      <family val="3"/>
      <charset val="128"/>
      <scheme val="minor"/>
    </font>
    <font>
      <sz val="11"/>
      <color theme="1"/>
      <name val="Yu Gothic"/>
      <family val="3"/>
      <charset val="128"/>
      <scheme val="minor"/>
    </font>
    <font>
      <sz val="11"/>
      <name val="Yu Gothic"/>
      <family val="3"/>
      <charset val="128"/>
      <scheme val="minor"/>
    </font>
    <font>
      <sz val="11"/>
      <color theme="0" tint="-0.14999847407452621"/>
      <name val="Yu Gothic"/>
      <family val="2"/>
      <scheme val="minor"/>
    </font>
    <font>
      <sz val="11"/>
      <color rgb="FF000000"/>
      <name val="Yu Gothic"/>
      <family val="3"/>
      <charset val="128"/>
    </font>
    <font>
      <sz val="11"/>
      <color rgb="FF000000"/>
      <name val="Yu Gothic"/>
      <family val="3"/>
      <charset val="128"/>
      <scheme val="minor"/>
    </font>
  </fonts>
  <fills count="38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FFFFCC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9" tint="-0.249977111117893"/>
        <bgColor indexed="64"/>
      </patternFill>
    </fill>
  </fills>
  <borders count="12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13">
    <xf numFmtId="0" fontId="0" fillId="0" borderId="0"/>
    <xf numFmtId="0" fontId="12" fillId="2" borderId="0" applyNumberFormat="0" applyBorder="0" applyAlignment="0" applyProtection="0">
      <alignment vertical="center"/>
    </xf>
    <xf numFmtId="0" fontId="13" fillId="3" borderId="0" applyNumberFormat="0" applyBorder="0" applyAlignment="0" applyProtection="0">
      <alignment vertical="center"/>
    </xf>
    <xf numFmtId="0" fontId="14" fillId="4" borderId="0" applyNumberFormat="0" applyBorder="0" applyAlignment="0" applyProtection="0">
      <alignment vertical="center"/>
    </xf>
    <xf numFmtId="0" fontId="15" fillId="5" borderId="1" applyNumberFormat="0" applyAlignment="0" applyProtection="0">
      <alignment vertical="center"/>
    </xf>
    <xf numFmtId="0" fontId="16" fillId="6" borderId="2" applyNumberFormat="0" applyAlignment="0" applyProtection="0">
      <alignment vertical="center"/>
    </xf>
    <xf numFmtId="0" fontId="11" fillId="8" borderId="0" applyNumberFormat="0" applyBorder="0" applyAlignment="0" applyProtection="0">
      <alignment vertical="center"/>
    </xf>
    <xf numFmtId="0" fontId="11" fillId="9" borderId="0" applyNumberFormat="0" applyBorder="0" applyAlignment="0" applyProtection="0">
      <alignment vertical="center"/>
    </xf>
    <xf numFmtId="0" fontId="11" fillId="10" borderId="0" applyNumberFormat="0" applyBorder="0" applyAlignment="0" applyProtection="0">
      <alignment vertical="center"/>
    </xf>
    <xf numFmtId="0" fontId="11" fillId="11" borderId="0" applyNumberFormat="0" applyBorder="0" applyAlignment="0" applyProtection="0">
      <alignment vertical="center"/>
    </xf>
    <xf numFmtId="0" fontId="11" fillId="0" borderId="0">
      <alignment vertical="center"/>
    </xf>
    <xf numFmtId="0" fontId="11" fillId="7" borderId="3" applyNumberFormat="0" applyFont="0" applyAlignment="0" applyProtection="0">
      <alignment vertical="center"/>
    </xf>
    <xf numFmtId="0" fontId="10" fillId="21" borderId="0" applyNumberFormat="0" applyBorder="0" applyAlignment="0" applyProtection="0">
      <alignment vertical="center"/>
    </xf>
  </cellStyleXfs>
  <cellXfs count="140">
    <xf numFmtId="0" fontId="0" fillId="0" borderId="0" xfId="0"/>
    <xf numFmtId="0" fontId="11" fillId="0" borderId="0" xfId="10">
      <alignment vertical="center"/>
    </xf>
    <xf numFmtId="0" fontId="11" fillId="14" borderId="4" xfId="10" applyFill="1" applyBorder="1" applyAlignment="1">
      <alignment horizontal="center" vertical="center"/>
    </xf>
    <xf numFmtId="0" fontId="0" fillId="4" borderId="2" xfId="3" applyFont="1" applyBorder="1" applyAlignment="1">
      <alignment horizontal="center" vertical="center"/>
    </xf>
    <xf numFmtId="0" fontId="11" fillId="4" borderId="2" xfId="3" applyFont="1" applyBorder="1" applyAlignment="1">
      <alignment horizontal="center" vertical="center"/>
    </xf>
    <xf numFmtId="0" fontId="21" fillId="4" borderId="4" xfId="3" applyFont="1" applyBorder="1" applyAlignment="1">
      <alignment horizontal="center" vertical="center"/>
    </xf>
    <xf numFmtId="0" fontId="11" fillId="8" borderId="4" xfId="6" applyBorder="1" applyAlignment="1">
      <alignment horizontal="center" vertical="center"/>
    </xf>
    <xf numFmtId="0" fontId="11" fillId="9" borderId="4" xfId="7" applyBorder="1" applyAlignment="1">
      <alignment horizontal="center" vertical="center"/>
    </xf>
    <xf numFmtId="0" fontId="11" fillId="11" borderId="4" xfId="9" applyBorder="1" applyAlignment="1">
      <alignment horizontal="center" vertical="center"/>
    </xf>
    <xf numFmtId="0" fontId="11" fillId="0" borderId="4" xfId="10" applyBorder="1">
      <alignment vertical="center"/>
    </xf>
    <xf numFmtId="0" fontId="20" fillId="14" borderId="2" xfId="5" applyFont="1" applyFill="1" applyAlignment="1">
      <alignment horizontal="center" vertical="center"/>
    </xf>
    <xf numFmtId="0" fontId="11" fillId="14" borderId="0" xfId="10" applyFill="1" applyAlignment="1">
      <alignment horizontal="center" vertical="center"/>
    </xf>
    <xf numFmtId="0" fontId="11" fillId="0" borderId="0" xfId="10" applyAlignment="1">
      <alignment horizontal="center" vertical="center"/>
    </xf>
    <xf numFmtId="0" fontId="11" fillId="0" borderId="4" xfId="10" applyBorder="1" applyAlignment="1">
      <alignment horizontal="left" vertical="center"/>
    </xf>
    <xf numFmtId="0" fontId="11" fillId="0" borderId="4" xfId="10" applyBorder="1" applyAlignment="1">
      <alignment horizontal="center" vertical="center"/>
    </xf>
    <xf numFmtId="0" fontId="11" fillId="10" borderId="0" xfId="8" applyBorder="1" applyAlignment="1">
      <alignment horizontal="center" vertical="center"/>
    </xf>
    <xf numFmtId="0" fontId="10" fillId="21" borderId="2" xfId="12" applyBorder="1">
      <alignment vertical="center"/>
    </xf>
    <xf numFmtId="0" fontId="10" fillId="0" borderId="4" xfId="10" applyFont="1" applyBorder="1" applyAlignment="1">
      <alignment horizontal="left" vertical="center"/>
    </xf>
    <xf numFmtId="0" fontId="20" fillId="6" borderId="4" xfId="5" applyFont="1" applyBorder="1">
      <alignment vertical="center"/>
    </xf>
    <xf numFmtId="0" fontId="0" fillId="0" borderId="0" xfId="0" applyAlignment="1">
      <alignment horizontal="center"/>
    </xf>
    <xf numFmtId="0" fontId="0" fillId="18" borderId="4" xfId="0" applyFill="1" applyBorder="1" applyAlignment="1">
      <alignment horizontal="center"/>
    </xf>
    <xf numFmtId="0" fontId="0" fillId="0" borderId="4" xfId="0" applyBorder="1"/>
    <xf numFmtId="0" fontId="0" fillId="22" borderId="4" xfId="0" applyFill="1" applyBorder="1" applyAlignment="1">
      <alignment horizontal="center"/>
    </xf>
    <xf numFmtId="0" fontId="0" fillId="23" borderId="4" xfId="0" applyFill="1" applyBorder="1" applyAlignment="1">
      <alignment horizontal="center"/>
    </xf>
    <xf numFmtId="0" fontId="0" fillId="24" borderId="4" xfId="0" applyFill="1" applyBorder="1" applyAlignment="1">
      <alignment horizontal="center"/>
    </xf>
    <xf numFmtId="0" fontId="0" fillId="25" borderId="0" xfId="0" applyFill="1" applyAlignment="1">
      <alignment horizontal="center"/>
    </xf>
    <xf numFmtId="0" fontId="0" fillId="17" borderId="0" xfId="0" applyFill="1" applyAlignment="1">
      <alignment horizontal="center"/>
    </xf>
    <xf numFmtId="0" fontId="0" fillId="19" borderId="0" xfId="0" applyFill="1" applyAlignment="1">
      <alignment horizontal="center"/>
    </xf>
    <xf numFmtId="0" fontId="0" fillId="27" borderId="0" xfId="0" applyFill="1"/>
    <xf numFmtId="0" fontId="0" fillId="23" borderId="0" xfId="0" applyFill="1"/>
    <xf numFmtId="0" fontId="0" fillId="18" borderId="0" xfId="0" applyFill="1"/>
    <xf numFmtId="0" fontId="0" fillId="13" borderId="0" xfId="0" applyFill="1"/>
    <xf numFmtId="0" fontId="6" fillId="16" borderId="4" xfId="10" applyFont="1" applyFill="1" applyBorder="1" applyAlignment="1">
      <alignment horizontal="center" vertical="center"/>
    </xf>
    <xf numFmtId="0" fontId="6" fillId="14" borderId="4" xfId="10" applyFont="1" applyFill="1" applyBorder="1" applyAlignment="1">
      <alignment horizontal="center" vertical="center"/>
    </xf>
    <xf numFmtId="0" fontId="6" fillId="28" borderId="4" xfId="10" applyFont="1" applyFill="1" applyBorder="1" applyAlignment="1">
      <alignment horizontal="center" vertical="center"/>
    </xf>
    <xf numFmtId="0" fontId="6" fillId="0" borderId="4" xfId="10" applyFont="1" applyBorder="1">
      <alignment vertical="center"/>
    </xf>
    <xf numFmtId="0" fontId="0" fillId="12" borderId="0" xfId="0" applyFill="1" applyAlignment="1">
      <alignment horizontal="center" vertical="center"/>
    </xf>
    <xf numFmtId="0" fontId="0" fillId="15" borderId="0" xfId="0" applyFill="1" applyAlignment="1">
      <alignment horizontal="center" vertical="center"/>
    </xf>
    <xf numFmtId="0" fontId="0" fillId="19" borderId="0" xfId="0" applyFill="1" applyAlignment="1">
      <alignment horizontal="center" vertical="center"/>
    </xf>
    <xf numFmtId="0" fontId="11" fillId="0" borderId="4" xfId="10" applyFill="1" applyBorder="1" applyAlignment="1">
      <alignment horizontal="left" vertical="center"/>
    </xf>
    <xf numFmtId="0" fontId="11" fillId="0" borderId="0" xfId="10" applyFill="1" applyBorder="1">
      <alignment vertical="center"/>
    </xf>
    <xf numFmtId="0" fontId="12" fillId="0" borderId="0" xfId="1" applyFill="1" applyBorder="1" applyAlignment="1">
      <alignment horizontal="center" vertical="center"/>
    </xf>
    <xf numFmtId="0" fontId="0" fillId="0" borderId="0" xfId="11" applyFont="1" applyFill="1" applyBorder="1" applyAlignment="1">
      <alignment horizontal="center" vertical="center"/>
    </xf>
    <xf numFmtId="0" fontId="11" fillId="0" borderId="0" xfId="10" applyFill="1" applyBorder="1" applyAlignment="1">
      <alignment horizontal="left" vertical="center"/>
    </xf>
    <xf numFmtId="0" fontId="11" fillId="0" borderId="0" xfId="10" applyFill="1" applyBorder="1" applyAlignment="1">
      <alignment horizontal="center" vertical="center"/>
    </xf>
    <xf numFmtId="0" fontId="6" fillId="0" borderId="4" xfId="10" applyFont="1" applyBorder="1" applyAlignment="1">
      <alignment horizontal="center" vertical="center"/>
    </xf>
    <xf numFmtId="0" fontId="6" fillId="30" borderId="4" xfId="10" applyFont="1" applyFill="1" applyBorder="1" applyAlignment="1">
      <alignment horizontal="center" vertical="center"/>
    </xf>
    <xf numFmtId="0" fontId="0" fillId="0" borderId="4" xfId="0" applyFill="1" applyBorder="1"/>
    <xf numFmtId="0" fontId="23" fillId="26" borderId="0" xfId="0" applyFont="1" applyFill="1" applyAlignment="1">
      <alignment vertical="center"/>
    </xf>
    <xf numFmtId="0" fontId="22" fillId="0" borderId="0" xfId="4" applyFont="1" applyFill="1" applyBorder="1">
      <alignment vertical="center"/>
    </xf>
    <xf numFmtId="0" fontId="22" fillId="0" borderId="0" xfId="4" applyFont="1" applyFill="1" applyBorder="1" applyAlignment="1">
      <alignment horizontal="center" vertical="center"/>
    </xf>
    <xf numFmtId="0" fontId="10" fillId="0" borderId="0" xfId="10" applyFont="1" applyFill="1" applyBorder="1" applyAlignment="1">
      <alignment horizontal="left" vertical="center"/>
    </xf>
    <xf numFmtId="0" fontId="6" fillId="0" borderId="0" xfId="10" applyFont="1" applyFill="1" applyBorder="1" applyAlignment="1">
      <alignment horizontal="left" vertical="center"/>
    </xf>
    <xf numFmtId="0" fontId="6" fillId="25" borderId="4" xfId="10" applyFont="1" applyFill="1" applyBorder="1" applyAlignment="1">
      <alignment horizontal="center" vertical="center"/>
    </xf>
    <xf numFmtId="0" fontId="6" fillId="15" borderId="4" xfId="10" applyFont="1" applyFill="1" applyBorder="1" applyAlignment="1">
      <alignment horizontal="center" vertical="center"/>
    </xf>
    <xf numFmtId="0" fontId="11" fillId="0" borderId="4" xfId="10" applyFill="1" applyBorder="1" applyAlignment="1">
      <alignment vertical="center"/>
    </xf>
    <xf numFmtId="0" fontId="6" fillId="31" borderId="0" xfId="10" applyFont="1" applyFill="1" applyBorder="1" applyAlignment="1">
      <alignment horizontal="center" vertical="center"/>
    </xf>
    <xf numFmtId="0" fontId="0" fillId="12" borderId="0" xfId="0" applyFill="1" applyBorder="1" applyAlignment="1">
      <alignment horizontal="center" vertical="center"/>
    </xf>
    <xf numFmtId="0" fontId="6" fillId="25" borderId="0" xfId="10" applyFont="1" applyFill="1" applyBorder="1" applyAlignment="1">
      <alignment horizontal="center" vertical="center"/>
    </xf>
    <xf numFmtId="0" fontId="6" fillId="15" borderId="0" xfId="10" applyFont="1" applyFill="1" applyBorder="1" applyAlignment="1">
      <alignment horizontal="center" vertical="center"/>
    </xf>
    <xf numFmtId="0" fontId="6" fillId="28" borderId="0" xfId="10" applyFont="1" applyFill="1" applyBorder="1" applyAlignment="1">
      <alignment horizontal="center" vertical="center"/>
    </xf>
    <xf numFmtId="0" fontId="0" fillId="0" borderId="4" xfId="11" applyFont="1" applyFill="1" applyBorder="1" applyAlignment="1">
      <alignment vertical="center"/>
    </xf>
    <xf numFmtId="0" fontId="11" fillId="0" borderId="4" xfId="10" applyBorder="1" applyAlignment="1">
      <alignment vertical="center"/>
    </xf>
    <xf numFmtId="0" fontId="6" fillId="32" borderId="4" xfId="10" applyFont="1" applyFill="1" applyBorder="1">
      <alignment vertical="center"/>
    </xf>
    <xf numFmtId="0" fontId="6" fillId="20" borderId="0" xfId="10" applyFont="1" applyFill="1" applyAlignment="1">
      <alignment horizontal="center" vertical="center"/>
    </xf>
    <xf numFmtId="0" fontId="0" fillId="25" borderId="4" xfId="0" applyFill="1" applyBorder="1" applyAlignment="1">
      <alignment horizontal="center"/>
    </xf>
    <xf numFmtId="0" fontId="6" fillId="21" borderId="2" xfId="12" applyFont="1" applyBorder="1">
      <alignment vertical="center"/>
    </xf>
    <xf numFmtId="0" fontId="0" fillId="19" borderId="4" xfId="0" applyFill="1" applyBorder="1" applyAlignment="1">
      <alignment horizontal="center"/>
    </xf>
    <xf numFmtId="0" fontId="0" fillId="14" borderId="4" xfId="0" applyFill="1" applyBorder="1" applyAlignment="1">
      <alignment horizontal="center" vertical="center"/>
    </xf>
    <xf numFmtId="0" fontId="0" fillId="13" borderId="4" xfId="0" applyFill="1" applyBorder="1" applyAlignment="1">
      <alignment vertical="center"/>
    </xf>
    <xf numFmtId="0" fontId="0" fillId="0" borderId="4" xfId="0" applyFill="1" applyBorder="1" applyAlignment="1">
      <alignment vertical="center"/>
    </xf>
    <xf numFmtId="0" fontId="0" fillId="13" borderId="0" xfId="0" applyFill="1" applyBorder="1" applyAlignment="1">
      <alignment horizontal="center" vertical="center"/>
    </xf>
    <xf numFmtId="0" fontId="0" fillId="14" borderId="0" xfId="0" applyFill="1" applyBorder="1" applyAlignment="1">
      <alignment horizontal="center" vertical="center"/>
    </xf>
    <xf numFmtId="0" fontId="22" fillId="0" borderId="4" xfId="0" applyFont="1" applyFill="1" applyBorder="1" applyAlignment="1">
      <alignment vertical="center"/>
    </xf>
    <xf numFmtId="0" fontId="0" fillId="19" borderId="0" xfId="0" applyFill="1" applyBorder="1" applyAlignment="1">
      <alignment horizontal="center" vertical="center"/>
    </xf>
    <xf numFmtId="0" fontId="5" fillId="0" borderId="4" xfId="10" applyFont="1" applyBorder="1">
      <alignment vertical="center"/>
    </xf>
    <xf numFmtId="0" fontId="10" fillId="12" borderId="0" xfId="10" applyFont="1" applyFill="1" applyAlignment="1">
      <alignment horizontal="center" vertical="center"/>
    </xf>
    <xf numFmtId="0" fontId="11" fillId="0" borderId="4" xfId="10" applyFill="1" applyBorder="1">
      <alignment vertical="center"/>
    </xf>
    <xf numFmtId="0" fontId="11" fillId="13" borderId="4" xfId="10" applyFill="1" applyBorder="1" applyAlignment="1">
      <alignment horizontal="center" vertical="center"/>
    </xf>
    <xf numFmtId="0" fontId="7" fillId="0" borderId="4" xfId="10" applyFont="1" applyFill="1" applyBorder="1">
      <alignment vertical="center"/>
    </xf>
    <xf numFmtId="0" fontId="6" fillId="13" borderId="4" xfId="10" applyFont="1" applyFill="1" applyBorder="1" applyAlignment="1">
      <alignment horizontal="center" vertical="center"/>
    </xf>
    <xf numFmtId="0" fontId="6" fillId="19" borderId="4" xfId="10" applyFont="1" applyFill="1" applyBorder="1" applyAlignment="1">
      <alignment horizontal="center" vertical="center"/>
    </xf>
    <xf numFmtId="0" fontId="8" fillId="0" borderId="4" xfId="10" applyFont="1" applyFill="1" applyBorder="1">
      <alignment vertical="center"/>
    </xf>
    <xf numFmtId="0" fontId="9" fillId="0" borderId="4" xfId="10" applyFont="1" applyFill="1" applyBorder="1">
      <alignment vertical="center"/>
    </xf>
    <xf numFmtId="0" fontId="8" fillId="19" borderId="4" xfId="10" applyFont="1" applyFill="1" applyBorder="1" applyAlignment="1">
      <alignment horizontal="center" vertical="center"/>
    </xf>
    <xf numFmtId="0" fontId="0" fillId="12" borderId="4" xfId="3" applyFont="1" applyFill="1" applyBorder="1" applyAlignment="1">
      <alignment horizontal="center" vertical="center"/>
    </xf>
    <xf numFmtId="0" fontId="0" fillId="19" borderId="4" xfId="3" applyFont="1" applyFill="1" applyBorder="1" applyAlignment="1">
      <alignment horizontal="center" vertical="center"/>
    </xf>
    <xf numFmtId="0" fontId="21" fillId="19" borderId="4" xfId="3" applyFont="1" applyFill="1" applyBorder="1" applyAlignment="1">
      <alignment horizontal="center" vertical="center"/>
    </xf>
    <xf numFmtId="0" fontId="20" fillId="0" borderId="2" xfId="5" applyFont="1" applyFill="1">
      <alignment vertical="center"/>
    </xf>
    <xf numFmtId="0" fontId="0" fillId="0" borderId="0" xfId="0" applyBorder="1"/>
    <xf numFmtId="0" fontId="4" fillId="14" borderId="4" xfId="10" applyFont="1" applyFill="1" applyBorder="1" applyAlignment="1">
      <alignment horizontal="center" vertical="center"/>
    </xf>
    <xf numFmtId="0" fontId="4" fillId="0" borderId="4" xfId="10" applyFont="1" applyFill="1" applyBorder="1">
      <alignment vertical="center"/>
    </xf>
    <xf numFmtId="0" fontId="0" fillId="13" borderId="0" xfId="0" applyFill="1" applyAlignment="1">
      <alignment horizontal="center"/>
    </xf>
    <xf numFmtId="0" fontId="0" fillId="14" borderId="0" xfId="0" applyFill="1" applyAlignment="1">
      <alignment horizontal="center"/>
    </xf>
    <xf numFmtId="0" fontId="0" fillId="0" borderId="8" xfId="0" applyBorder="1" applyAlignment="1">
      <alignment vertical="top"/>
    </xf>
    <xf numFmtId="0" fontId="0" fillId="0" borderId="4" xfId="0" applyBorder="1"/>
    <xf numFmtId="0" fontId="3" fillId="14" borderId="4" xfId="10" applyFont="1" applyFill="1" applyBorder="1" applyAlignment="1">
      <alignment horizontal="center" vertical="center"/>
    </xf>
    <xf numFmtId="0" fontId="0" fillId="27" borderId="4" xfId="0" applyFill="1" applyBorder="1" applyAlignment="1">
      <alignment horizontal="center"/>
    </xf>
    <xf numFmtId="0" fontId="2" fillId="0" borderId="4" xfId="10" applyFont="1" applyFill="1" applyBorder="1">
      <alignment vertical="center"/>
    </xf>
    <xf numFmtId="0" fontId="2" fillId="0" borderId="4" xfId="10" applyFont="1" applyFill="1" applyBorder="1" applyAlignment="1">
      <alignment horizontal="left" vertical="center"/>
    </xf>
    <xf numFmtId="0" fontId="25" fillId="0" borderId="4" xfId="0" applyFont="1" applyBorder="1" applyAlignment="1">
      <alignment vertical="center"/>
    </xf>
    <xf numFmtId="0" fontId="25" fillId="0" borderId="7" xfId="0" applyFont="1" applyBorder="1" applyAlignment="1">
      <alignment vertical="center"/>
    </xf>
    <xf numFmtId="0" fontId="25" fillId="0" borderId="7" xfId="0" applyFont="1" applyBorder="1" applyAlignment="1">
      <alignment horizontal="left" vertical="center"/>
    </xf>
    <xf numFmtId="0" fontId="0" fillId="0" borderId="4" xfId="0" applyBorder="1"/>
    <xf numFmtId="0" fontId="1" fillId="0" borderId="4" xfId="10" applyFont="1" applyFill="1" applyBorder="1">
      <alignment vertical="center"/>
    </xf>
    <xf numFmtId="0" fontId="0" fillId="31" borderId="0" xfId="0" applyFill="1" applyAlignment="1">
      <alignment horizontal="center"/>
    </xf>
    <xf numFmtId="0" fontId="0" fillId="20" borderId="0" xfId="0" applyFill="1" applyAlignment="1">
      <alignment horizontal="center"/>
    </xf>
    <xf numFmtId="0" fontId="0" fillId="0" borderId="11" xfId="0" applyBorder="1"/>
    <xf numFmtId="0" fontId="0" fillId="17" borderId="0" xfId="0" applyFill="1" applyAlignment="1">
      <alignment horizontal="center" vertical="center"/>
    </xf>
    <xf numFmtId="0" fontId="0" fillId="25" borderId="0" xfId="0" applyFill="1" applyAlignment="1">
      <alignment horizontal="center" vertical="center"/>
    </xf>
    <xf numFmtId="0" fontId="0" fillId="18" borderId="0" xfId="0" applyFill="1" applyAlignment="1">
      <alignment horizontal="center"/>
    </xf>
    <xf numFmtId="0" fontId="0" fillId="30" borderId="0" xfId="0" applyFill="1" applyAlignment="1">
      <alignment horizontal="center" vertical="center"/>
    </xf>
    <xf numFmtId="0" fontId="0" fillId="32" borderId="0" xfId="0" applyFill="1" applyAlignment="1">
      <alignment horizontal="center" vertical="center"/>
    </xf>
    <xf numFmtId="0" fontId="0" fillId="35" borderId="0" xfId="0" applyFill="1" applyAlignment="1">
      <alignment horizontal="center" vertical="center"/>
    </xf>
    <xf numFmtId="0" fontId="0" fillId="36" borderId="0" xfId="0" applyFill="1" applyAlignment="1">
      <alignment horizontal="center"/>
    </xf>
    <xf numFmtId="0" fontId="0" fillId="37" borderId="0" xfId="0" applyFill="1" applyAlignment="1">
      <alignment horizontal="center"/>
    </xf>
    <xf numFmtId="0" fontId="0" fillId="23" borderId="0" xfId="0" applyFill="1" applyAlignment="1">
      <alignment horizontal="center"/>
    </xf>
    <xf numFmtId="0" fontId="0" fillId="34" borderId="9" xfId="0" applyFill="1" applyBorder="1" applyAlignment="1">
      <alignment horizontal="center"/>
    </xf>
    <xf numFmtId="0" fontId="0" fillId="16" borderId="9" xfId="0" applyFill="1" applyBorder="1" applyAlignment="1">
      <alignment horizontal="center"/>
    </xf>
    <xf numFmtId="0" fontId="0" fillId="33" borderId="0" xfId="0" applyFill="1" applyAlignment="1">
      <alignment horizontal="center"/>
    </xf>
    <xf numFmtId="0" fontId="13" fillId="3" borderId="0" xfId="2" applyAlignment="1">
      <alignment horizontal="center"/>
    </xf>
    <xf numFmtId="0" fontId="14" fillId="4" borderId="0" xfId="3" applyAlignment="1">
      <alignment horizontal="center"/>
    </xf>
    <xf numFmtId="0" fontId="12" fillId="2" borderId="0" xfId="1" applyAlignment="1">
      <alignment horizontal="center"/>
    </xf>
    <xf numFmtId="0" fontId="0" fillId="0" borderId="6" xfId="0" applyBorder="1" applyAlignment="1">
      <alignment wrapText="1"/>
    </xf>
    <xf numFmtId="0" fontId="0" fillId="0" borderId="10" xfId="0" applyBorder="1" applyAlignment="1">
      <alignment wrapText="1"/>
    </xf>
    <xf numFmtId="0" fontId="0" fillId="0" borderId="7" xfId="0" applyBorder="1" applyAlignment="1">
      <alignment wrapText="1"/>
    </xf>
    <xf numFmtId="0" fontId="0" fillId="0" borderId="6" xfId="0" applyBorder="1"/>
    <xf numFmtId="0" fontId="0" fillId="0" borderId="10" xfId="0" applyBorder="1"/>
    <xf numFmtId="0" fontId="0" fillId="0" borderId="7" xfId="0" applyBorder="1"/>
    <xf numFmtId="0" fontId="0" fillId="0" borderId="4" xfId="0" applyBorder="1" applyAlignment="1">
      <alignment horizontal="left" vertical="top"/>
    </xf>
    <xf numFmtId="0" fontId="6" fillId="28" borderId="6" xfId="10" applyFont="1" applyFill="1" applyBorder="1" applyAlignment="1">
      <alignment horizontal="center" vertical="center"/>
    </xf>
    <xf numFmtId="0" fontId="6" fillId="28" borderId="7" xfId="10" applyFont="1" applyFill="1" applyBorder="1" applyAlignment="1">
      <alignment horizontal="center" vertical="center"/>
    </xf>
    <xf numFmtId="0" fontId="6" fillId="14" borderId="6" xfId="10" applyFont="1" applyFill="1" applyBorder="1" applyAlignment="1">
      <alignment horizontal="center" vertical="center"/>
    </xf>
    <xf numFmtId="0" fontId="6" fillId="14" borderId="7" xfId="10" applyFont="1" applyFill="1" applyBorder="1" applyAlignment="1">
      <alignment horizontal="center" vertical="center"/>
    </xf>
    <xf numFmtId="0" fontId="6" fillId="29" borderId="6" xfId="10" applyFont="1" applyFill="1" applyBorder="1" applyAlignment="1">
      <alignment horizontal="center" vertical="center"/>
    </xf>
    <xf numFmtId="0" fontId="6" fillId="29" borderId="7" xfId="10" applyFont="1" applyFill="1" applyBorder="1" applyAlignment="1">
      <alignment horizontal="center" vertical="center"/>
    </xf>
    <xf numFmtId="0" fontId="19" fillId="16" borderId="4" xfId="10" applyFont="1" applyFill="1" applyBorder="1" applyAlignment="1">
      <alignment horizontal="center" vertical="center"/>
    </xf>
    <xf numFmtId="0" fontId="19" fillId="5" borderId="1" xfId="4" applyFont="1" applyAlignment="1">
      <alignment horizontal="center" vertical="center"/>
    </xf>
    <xf numFmtId="0" fontId="19" fillId="5" borderId="5" xfId="4" applyFont="1" applyBorder="1" applyAlignment="1">
      <alignment horizontal="center" vertical="center"/>
    </xf>
    <xf numFmtId="0" fontId="19" fillId="16" borderId="4" xfId="0" applyFont="1" applyFill="1" applyBorder="1" applyAlignment="1">
      <alignment horizontal="center" vertical="center"/>
    </xf>
  </cellXfs>
  <cellStyles count="13">
    <cellStyle name="20% - アクセント 1" xfId="6" builtinId="30"/>
    <cellStyle name="20% - アクセント 2" xfId="7" builtinId="34"/>
    <cellStyle name="20% - アクセント 3" xfId="9" builtinId="38"/>
    <cellStyle name="20% - アクセント 5" xfId="12" builtinId="46"/>
    <cellStyle name="60% - アクセント 2" xfId="8" builtinId="36"/>
    <cellStyle name="どちらでもない" xfId="3" builtinId="28"/>
    <cellStyle name="メモ 2" xfId="11" xr:uid="{6A082A9C-AEF4-4DFF-B068-CA5EBD2AB72E}"/>
    <cellStyle name="悪い" xfId="2" builtinId="27"/>
    <cellStyle name="出力" xfId="5" builtinId="21"/>
    <cellStyle name="入力" xfId="4" builtinId="20"/>
    <cellStyle name="標準" xfId="0" builtinId="0"/>
    <cellStyle name="標準 2" xfId="10" xr:uid="{2CCFD3B5-C39E-4B7E-B0AC-4702062E96C9}"/>
    <cellStyle name="良い" xfId="1" builtinId="26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calcChain" Target="calcChain.xml"/><Relationship Id="rId8" Type="http://schemas.openxmlformats.org/officeDocument/2006/relationships/worksheet" Target="worksheets/sheet8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152400</xdr:colOff>
          <xdr:row>1</xdr:row>
          <xdr:rowOff>47625</xdr:rowOff>
        </xdr:from>
        <xdr:to>
          <xdr:col>2</xdr:col>
          <xdr:colOff>552450</xdr:colOff>
          <xdr:row>2</xdr:row>
          <xdr:rowOff>180975</xdr:rowOff>
        </xdr:to>
        <xdr:sp macro="" textlink="">
          <xdr:nvSpPr>
            <xdr:cNvPr id="16389" name="Button 5" hidden="1">
              <a:extLst>
                <a:ext uri="{63B3BB69-23CF-44E3-9099-C40C66FF867C}">
                  <a14:compatExt spid="_x0000_s16389"/>
                </a:ext>
                <a:ext uri="{FF2B5EF4-FFF2-40B4-BE49-F238E27FC236}">
                  <a16:creationId xmlns:a16="http://schemas.microsoft.com/office/drawing/2014/main" id="{00000000-0008-0000-1D00-000005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プルダウン更新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190500</xdr:colOff>
          <xdr:row>1</xdr:row>
          <xdr:rowOff>85725</xdr:rowOff>
        </xdr:from>
        <xdr:to>
          <xdr:col>8</xdr:col>
          <xdr:colOff>361950</xdr:colOff>
          <xdr:row>4</xdr:row>
          <xdr:rowOff>209550</xdr:rowOff>
        </xdr:to>
        <xdr:sp macro="" textlink="">
          <xdr:nvSpPr>
            <xdr:cNvPr id="16390" name="Button 6" hidden="1">
              <a:extLst>
                <a:ext uri="{63B3BB69-23CF-44E3-9099-C40C66FF867C}">
                  <a14:compatExt spid="_x0000_s16390"/>
                </a:ext>
                <a:ext uri="{FF2B5EF4-FFF2-40B4-BE49-F238E27FC236}">
                  <a16:creationId xmlns:a16="http://schemas.microsoft.com/office/drawing/2014/main" id="{00000000-0008-0000-1D00-000006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CSV出力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&#20803;&#12487;&#12540;&#12479;/TerrainData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LMesh"/>
      <sheetName val="Reference"/>
    </sheetNames>
    <sheetDataSet>
      <sheetData sheetId="0" refreshError="1"/>
      <sheetData sheetId="1">
        <row r="4">
          <cell r="B4" t="str">
            <v>遺跡</v>
          </cell>
          <cell r="C4">
            <v>30000</v>
          </cell>
        </row>
        <row r="5">
          <cell r="B5" t="str">
            <v>遺跡バトル</v>
          </cell>
          <cell r="C5">
            <v>30001</v>
          </cell>
        </row>
        <row r="6">
          <cell r="C6" t="str">
            <v/>
          </cell>
        </row>
        <row r="7">
          <cell r="C7" t="str">
            <v/>
          </cell>
        </row>
      </sheetData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3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5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C96EE9-9C43-4510-9C50-71EE1ECE0F23}">
  <sheetPr codeName="Sheet1"/>
  <dimension ref="A1:G3"/>
  <sheetViews>
    <sheetView workbookViewId="0">
      <selection activeCell="C7" sqref="C7"/>
    </sheetView>
  </sheetViews>
  <sheetFormatPr defaultRowHeight="18.75"/>
  <cols>
    <col min="1" max="1" width="14" style="1" customWidth="1"/>
    <col min="2" max="4" width="8.75" style="1" customWidth="1"/>
    <col min="5" max="16384" width="9" style="1"/>
  </cols>
  <sheetData>
    <row r="1" spans="1:7">
      <c r="A1" s="78" t="s">
        <v>5</v>
      </c>
      <c r="B1" s="78" t="s">
        <v>6</v>
      </c>
      <c r="C1" s="2" t="s">
        <v>4</v>
      </c>
      <c r="D1" s="2" t="s">
        <v>3</v>
      </c>
      <c r="E1" s="2" t="s">
        <v>2</v>
      </c>
      <c r="F1" s="2" t="s">
        <v>1</v>
      </c>
      <c r="G1" s="2" t="s">
        <v>0</v>
      </c>
    </row>
    <row r="2" spans="1:7">
      <c r="A2" s="77" t="s">
        <v>79</v>
      </c>
      <c r="B2" s="77">
        <f>IF(A2="","",VLOOKUP(A2, プレイヤー名_ID, 2, FALSE))</f>
        <v>10000</v>
      </c>
      <c r="C2" s="77">
        <v>40</v>
      </c>
      <c r="D2" s="77">
        <v>15</v>
      </c>
      <c r="E2" s="77">
        <v>27</v>
      </c>
      <c r="F2" s="77">
        <v>12</v>
      </c>
      <c r="G2" s="77">
        <v>20</v>
      </c>
    </row>
    <row r="3" spans="1:7">
      <c r="A3" s="77" t="s">
        <v>77</v>
      </c>
      <c r="B3" s="77">
        <f>IF(A3="","",VLOOKUP(A3, プレイヤー名_ID, 2, FALSE))</f>
        <v>10001</v>
      </c>
      <c r="C3" s="77">
        <v>45</v>
      </c>
      <c r="D3" s="77">
        <v>15</v>
      </c>
      <c r="E3" s="77">
        <v>20</v>
      </c>
      <c r="F3" s="77">
        <v>23</v>
      </c>
      <c r="G3" s="77">
        <v>13</v>
      </c>
    </row>
  </sheetData>
  <phoneticPr fontId="17"/>
  <dataValidations count="1">
    <dataValidation type="list" allowBlank="1" showInputMessage="1" showErrorMessage="1" sqref="A2:A3" xr:uid="{4F5AF7EA-F856-449A-9B09-15C2C1D85FF1}">
      <formula1>プレイヤー名</formula1>
    </dataValidation>
  </dataValidation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3596D3-F458-4B37-A156-D9EA4900D69D}">
  <sheetPr codeName="Sheet2"/>
  <dimension ref="A1:E17"/>
  <sheetViews>
    <sheetView workbookViewId="0">
      <selection activeCell="E10" sqref="E10"/>
    </sheetView>
  </sheetViews>
  <sheetFormatPr defaultRowHeight="18.75"/>
  <cols>
    <col min="1" max="1" width="12.125" style="1" customWidth="1"/>
    <col min="2" max="2" width="9" style="1"/>
    <col min="3" max="3" width="10.625" style="1" customWidth="1"/>
    <col min="4" max="4" width="9" style="1"/>
    <col min="5" max="5" width="28.25" style="1" customWidth="1"/>
    <col min="6" max="16384" width="9" style="1"/>
  </cols>
  <sheetData>
    <row r="1" spans="1:5">
      <c r="A1" s="80" t="s">
        <v>5</v>
      </c>
      <c r="B1" s="80" t="s">
        <v>139</v>
      </c>
      <c r="C1" s="81" t="s">
        <v>140</v>
      </c>
      <c r="D1" s="81" t="s">
        <v>139</v>
      </c>
      <c r="E1" s="33" t="s">
        <v>141</v>
      </c>
    </row>
    <row r="2" spans="1:5">
      <c r="A2" s="77" t="s">
        <v>79</v>
      </c>
      <c r="B2" s="77">
        <f t="shared" ref="B2:B16" si="0">IF(A2="","",VLOOKUP(A2, プレイヤー名_ID, 2, FALSE))</f>
        <v>10000</v>
      </c>
      <c r="C2" s="77" t="s">
        <v>146</v>
      </c>
      <c r="D2" s="77">
        <f t="shared" ref="D2:D17" si="1">IF(C2="","",VLOOKUP(C2, モーション名_ID, 2, FALSE))</f>
        <v>0</v>
      </c>
      <c r="E2" s="79" t="s">
        <v>83</v>
      </c>
    </row>
    <row r="3" spans="1:5">
      <c r="A3" s="77" t="s">
        <v>79</v>
      </c>
      <c r="B3" s="77">
        <f t="shared" si="0"/>
        <v>10000</v>
      </c>
      <c r="C3" s="77" t="s">
        <v>148</v>
      </c>
      <c r="D3" s="77">
        <f t="shared" si="1"/>
        <v>1</v>
      </c>
      <c r="E3" s="79" t="s">
        <v>81</v>
      </c>
    </row>
    <row r="4" spans="1:5">
      <c r="A4" s="77" t="s">
        <v>79</v>
      </c>
      <c r="B4" s="77">
        <f t="shared" si="0"/>
        <v>10000</v>
      </c>
      <c r="C4" s="77" t="s">
        <v>152</v>
      </c>
      <c r="D4" s="77">
        <f t="shared" si="1"/>
        <v>3</v>
      </c>
      <c r="E4" s="79" t="s">
        <v>82</v>
      </c>
    </row>
    <row r="5" spans="1:5">
      <c r="A5" s="77" t="s">
        <v>79</v>
      </c>
      <c r="B5" s="77">
        <f t="shared" si="0"/>
        <v>10000</v>
      </c>
      <c r="C5" s="77" t="s">
        <v>154</v>
      </c>
      <c r="D5" s="77">
        <f t="shared" si="1"/>
        <v>4</v>
      </c>
      <c r="E5" s="79" t="s">
        <v>84</v>
      </c>
    </row>
    <row r="6" spans="1:5">
      <c r="A6" s="77" t="s">
        <v>79</v>
      </c>
      <c r="B6" s="77">
        <f t="shared" ref="B6:B8" si="2">IF(A6="","",VLOOKUP(A6, プレイヤー名_ID, 2, FALSE))</f>
        <v>10000</v>
      </c>
      <c r="C6" s="77" t="s">
        <v>156</v>
      </c>
      <c r="D6" s="77">
        <f t="shared" ref="D6:D8" si="3">IF(C6="","",VLOOKUP(C6, モーション名_ID, 2, FALSE))</f>
        <v>5</v>
      </c>
      <c r="E6" s="79" t="s">
        <v>85</v>
      </c>
    </row>
    <row r="7" spans="1:5">
      <c r="A7" s="77" t="s">
        <v>79</v>
      </c>
      <c r="B7" s="77">
        <f t="shared" si="2"/>
        <v>10000</v>
      </c>
      <c r="C7" s="77" t="s">
        <v>158</v>
      </c>
      <c r="D7" s="77">
        <f t="shared" si="3"/>
        <v>6</v>
      </c>
      <c r="E7" s="98" t="s">
        <v>200</v>
      </c>
    </row>
    <row r="8" spans="1:5">
      <c r="A8" s="77" t="s">
        <v>79</v>
      </c>
      <c r="B8" s="77">
        <f t="shared" si="2"/>
        <v>10000</v>
      </c>
      <c r="C8" s="77" t="s">
        <v>197</v>
      </c>
      <c r="D8" s="77">
        <f t="shared" si="3"/>
        <v>7</v>
      </c>
      <c r="E8" s="98" t="s">
        <v>201</v>
      </c>
    </row>
    <row r="9" spans="1:5">
      <c r="A9" s="77" t="s">
        <v>79</v>
      </c>
      <c r="B9" s="77">
        <f t="shared" si="0"/>
        <v>10000</v>
      </c>
      <c r="C9" s="77" t="s">
        <v>161</v>
      </c>
      <c r="D9" s="77">
        <f t="shared" si="1"/>
        <v>8</v>
      </c>
      <c r="E9" s="79" t="s">
        <v>86</v>
      </c>
    </row>
    <row r="10" spans="1:5">
      <c r="A10" s="77" t="s">
        <v>77</v>
      </c>
      <c r="B10" s="77">
        <f t="shared" si="0"/>
        <v>10001</v>
      </c>
      <c r="C10" s="77" t="s">
        <v>146</v>
      </c>
      <c r="D10" s="77">
        <f t="shared" si="1"/>
        <v>0</v>
      </c>
      <c r="E10" s="79" t="s">
        <v>87</v>
      </c>
    </row>
    <row r="11" spans="1:5">
      <c r="A11" s="77" t="s">
        <v>77</v>
      </c>
      <c r="B11" s="77">
        <f t="shared" si="0"/>
        <v>10001</v>
      </c>
      <c r="C11" s="77" t="s">
        <v>148</v>
      </c>
      <c r="D11" s="77">
        <f t="shared" si="1"/>
        <v>1</v>
      </c>
      <c r="E11" s="79" t="s">
        <v>88</v>
      </c>
    </row>
    <row r="12" spans="1:5">
      <c r="A12" s="77" t="s">
        <v>77</v>
      </c>
      <c r="B12" s="77">
        <f t="shared" si="0"/>
        <v>10001</v>
      </c>
      <c r="C12" s="77" t="s">
        <v>152</v>
      </c>
      <c r="D12" s="77">
        <f t="shared" si="1"/>
        <v>3</v>
      </c>
      <c r="E12" s="79" t="s">
        <v>89</v>
      </c>
    </row>
    <row r="13" spans="1:5">
      <c r="A13" s="77" t="s">
        <v>77</v>
      </c>
      <c r="B13" s="77">
        <f t="shared" si="0"/>
        <v>10001</v>
      </c>
      <c r="C13" s="77" t="s">
        <v>154</v>
      </c>
      <c r="D13" s="77">
        <f t="shared" si="1"/>
        <v>4</v>
      </c>
      <c r="E13" s="79" t="s">
        <v>90</v>
      </c>
    </row>
    <row r="14" spans="1:5">
      <c r="A14" s="77" t="s">
        <v>77</v>
      </c>
      <c r="B14" s="77">
        <f t="shared" si="0"/>
        <v>10001</v>
      </c>
      <c r="C14" s="77" t="s">
        <v>156</v>
      </c>
      <c r="D14" s="77">
        <f t="shared" si="1"/>
        <v>5</v>
      </c>
      <c r="E14" s="79" t="s">
        <v>91</v>
      </c>
    </row>
    <row r="15" spans="1:5">
      <c r="A15" s="77" t="s">
        <v>77</v>
      </c>
      <c r="B15" s="77">
        <f t="shared" si="0"/>
        <v>10001</v>
      </c>
      <c r="C15" s="77" t="s">
        <v>158</v>
      </c>
      <c r="D15" s="77">
        <f t="shared" si="1"/>
        <v>6</v>
      </c>
      <c r="E15" s="98" t="s">
        <v>199</v>
      </c>
    </row>
    <row r="16" spans="1:5">
      <c r="A16" s="77" t="s">
        <v>77</v>
      </c>
      <c r="B16" s="77">
        <f t="shared" si="0"/>
        <v>10001</v>
      </c>
      <c r="C16" s="77" t="s">
        <v>197</v>
      </c>
      <c r="D16" s="77">
        <f t="shared" si="1"/>
        <v>7</v>
      </c>
      <c r="E16" s="98" t="s">
        <v>198</v>
      </c>
    </row>
    <row r="17" spans="1:5">
      <c r="A17" s="77" t="s">
        <v>77</v>
      </c>
      <c r="B17" s="77">
        <f t="shared" ref="B17" si="4">IF(A17="","",VLOOKUP(A17, プレイヤー名_ID, 2, FALSE))</f>
        <v>10001</v>
      </c>
      <c r="C17" s="77" t="s">
        <v>161</v>
      </c>
      <c r="D17" s="77">
        <f t="shared" si="1"/>
        <v>8</v>
      </c>
      <c r="E17" s="79" t="s">
        <v>92</v>
      </c>
    </row>
  </sheetData>
  <phoneticPr fontId="17"/>
  <dataValidations count="2">
    <dataValidation type="list" allowBlank="1" showInputMessage="1" showErrorMessage="1" sqref="A2:A17" xr:uid="{A898687A-7F8E-42CE-8B82-0C0F92AF266D}">
      <formula1>プレイヤー名</formula1>
    </dataValidation>
    <dataValidation type="list" allowBlank="1" showInputMessage="1" showErrorMessage="1" sqref="C2:C17" xr:uid="{56C45EDE-057D-45A2-B4F5-01BD6B4C623E}">
      <formula1>モーション名</formula1>
    </dataValidation>
  </dataValidations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ACBE72-912C-4377-9453-A4B63E2A9990}">
  <sheetPr codeName="Sheet18"/>
  <dimension ref="A1:H4"/>
  <sheetViews>
    <sheetView workbookViewId="0">
      <selection activeCell="H5" sqref="H5"/>
    </sheetView>
  </sheetViews>
  <sheetFormatPr defaultRowHeight="18.75"/>
  <cols>
    <col min="1" max="1" width="11" bestFit="1" customWidth="1"/>
    <col min="3" max="3" width="11.25" bestFit="1" customWidth="1"/>
    <col min="4" max="4" width="8" customWidth="1"/>
    <col min="5" max="5" width="22.625" bestFit="1" customWidth="1"/>
  </cols>
  <sheetData>
    <row r="1" spans="1:8">
      <c r="A1" s="117" t="s">
        <v>190</v>
      </c>
      <c r="B1" s="117"/>
      <c r="C1" s="117"/>
      <c r="D1" s="117"/>
      <c r="E1" s="117"/>
      <c r="F1" s="118" t="s">
        <v>194</v>
      </c>
      <c r="G1" s="118"/>
      <c r="H1" s="118"/>
    </row>
    <row r="2" spans="1:8">
      <c r="A2" s="80" t="s">
        <v>5</v>
      </c>
      <c r="B2" s="80" t="s">
        <v>139</v>
      </c>
      <c r="C2" s="81" t="s">
        <v>140</v>
      </c>
      <c r="D2" s="81" t="s">
        <v>139</v>
      </c>
      <c r="E2" s="96" t="s">
        <v>189</v>
      </c>
      <c r="F2" s="97" t="s">
        <v>192</v>
      </c>
      <c r="G2" s="97" t="s">
        <v>193</v>
      </c>
      <c r="H2" s="97" t="s">
        <v>191</v>
      </c>
    </row>
    <row r="3" spans="1:8">
      <c r="A3" s="77" t="s">
        <v>79</v>
      </c>
      <c r="B3" s="77">
        <f t="shared" ref="B3:B4" si="0">IF(A3="","",VLOOKUP(A3, プレイヤー名_ID, 2, FALSE))</f>
        <v>10000</v>
      </c>
      <c r="C3" s="77" t="s">
        <v>154</v>
      </c>
      <c r="D3" s="77">
        <f t="shared" ref="D3:D4" si="1">IF(C3="","",VLOOKUP(C3, モーション名_ID, 2, FALSE))</f>
        <v>4</v>
      </c>
      <c r="E3" s="104" t="s">
        <v>223</v>
      </c>
      <c r="F3" s="95">
        <v>10</v>
      </c>
      <c r="G3" s="95">
        <v>16</v>
      </c>
      <c r="H3" s="95">
        <v>0.8</v>
      </c>
    </row>
    <row r="4" spans="1:8">
      <c r="A4" s="77" t="s">
        <v>77</v>
      </c>
      <c r="B4" s="77">
        <f t="shared" si="0"/>
        <v>10001</v>
      </c>
      <c r="C4" s="77" t="s">
        <v>154</v>
      </c>
      <c r="D4" s="77">
        <f t="shared" si="1"/>
        <v>4</v>
      </c>
      <c r="E4" s="79" t="s">
        <v>222</v>
      </c>
      <c r="F4" s="95">
        <v>6</v>
      </c>
      <c r="G4" s="95">
        <v>9</v>
      </c>
      <c r="H4" s="95">
        <v>0.5</v>
      </c>
    </row>
  </sheetData>
  <mergeCells count="2">
    <mergeCell ref="A1:E1"/>
    <mergeCell ref="F1:H1"/>
  </mergeCells>
  <phoneticPr fontId="17"/>
  <dataValidations count="2">
    <dataValidation type="list" allowBlank="1" showInputMessage="1" showErrorMessage="1" sqref="C3:C4" xr:uid="{E565829B-F8B3-434F-A96D-A7749029FA4E}">
      <formula1>モーション名</formula1>
    </dataValidation>
    <dataValidation type="list" allowBlank="1" showInputMessage="1" showErrorMessage="1" sqref="A3:A4" xr:uid="{3DA8161E-DBE8-4E5B-88EF-028F05FEE11B}">
      <formula1>プレイヤー名</formula1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FF4D26-4FF1-4215-8CD2-EE2690897B61}">
  <sheetPr codeName="Sheet3"/>
  <dimension ref="A1:I16"/>
  <sheetViews>
    <sheetView workbookViewId="0">
      <selection activeCell="C6" sqref="C6"/>
    </sheetView>
  </sheetViews>
  <sheetFormatPr defaultRowHeight="18.75"/>
  <cols>
    <col min="1" max="2" width="11.25" customWidth="1"/>
    <col min="3" max="3" width="17.25" bestFit="1" customWidth="1"/>
    <col min="4" max="4" width="12.25" bestFit="1" customWidth="1"/>
    <col min="5" max="5" width="9.375" bestFit="1" customWidth="1"/>
    <col min="6" max="6" width="10.125" bestFit="1" customWidth="1"/>
    <col min="7" max="7" width="8.25" bestFit="1" customWidth="1"/>
    <col min="8" max="8" width="10.125" bestFit="1" customWidth="1"/>
    <col min="9" max="9" width="6.375" bestFit="1" customWidth="1"/>
    <col min="10" max="10" width="10.125" bestFit="1" customWidth="1"/>
    <col min="11" max="11" width="10.75" customWidth="1"/>
    <col min="12" max="16" width="12.25" bestFit="1" customWidth="1"/>
    <col min="17" max="17" width="36" customWidth="1"/>
  </cols>
  <sheetData>
    <row r="1" spans="1:9">
      <c r="A1" s="92" t="s">
        <v>93</v>
      </c>
      <c r="B1" s="92" t="s">
        <v>94</v>
      </c>
      <c r="C1" s="25" t="s">
        <v>52</v>
      </c>
      <c r="D1" s="25" t="s">
        <v>297</v>
      </c>
    </row>
    <row r="2" spans="1:9">
      <c r="A2" s="103" t="s">
        <v>79</v>
      </c>
      <c r="B2" s="103">
        <f>IF(A2="", "", VLOOKUP(A2, プレイヤー名_ID,2,FALSE))</f>
        <v>10000</v>
      </c>
      <c r="C2" s="103" t="s">
        <v>302</v>
      </c>
      <c r="D2" s="103">
        <f>IF(C2="", "", VLOOKUP(C2, スキル名_ID,2,FALSE))</f>
        <v>2</v>
      </c>
    </row>
    <row r="3" spans="1:9">
      <c r="A3" s="103" t="s">
        <v>77</v>
      </c>
      <c r="B3" s="103">
        <f>IF(A3="", "", VLOOKUP(A3, プレイヤー名_ID,2,FALSE))</f>
        <v>10001</v>
      </c>
      <c r="C3" s="103" t="s">
        <v>67</v>
      </c>
      <c r="D3" s="103">
        <f>IF(C3="", "", VLOOKUP(C3, スキル名_ID,2,FALSE))</f>
        <v>0</v>
      </c>
    </row>
    <row r="4" spans="1:9">
      <c r="A4" s="103" t="s">
        <v>77</v>
      </c>
      <c r="B4" s="103">
        <f>IF(A4="", "", VLOOKUP(A4, プレイヤー名_ID,2,FALSE))</f>
        <v>10001</v>
      </c>
      <c r="C4" s="103" t="s">
        <v>231</v>
      </c>
      <c r="D4" s="103">
        <f>IF(C4="", "", VLOOKUP(C4, スキル名_ID,2,FALSE))</f>
        <v>1</v>
      </c>
    </row>
    <row r="16" spans="1:9">
      <c r="F16" s="19"/>
      <c r="G16" s="19"/>
      <c r="H16" s="19"/>
      <c r="I16" s="19"/>
    </row>
  </sheetData>
  <dataConsolidate/>
  <phoneticPr fontId="17"/>
  <dataValidations count="2">
    <dataValidation type="list" allowBlank="1" showInputMessage="1" showErrorMessage="1" sqref="A2:A4" xr:uid="{6B1416D7-63B8-407F-860B-372FDC19CDA6}">
      <formula1>プレイヤー名</formula1>
    </dataValidation>
    <dataValidation type="list" allowBlank="1" showInputMessage="1" showErrorMessage="1" sqref="C2:C4" xr:uid="{6A998FB2-0975-4465-9ACE-74B69278C119}">
      <formula1>スキル名</formula1>
    </dataValidation>
  </dataValidations>
  <pageMargins left="0.7" right="0.7" top="0.75" bottom="0.75" header="0.3" footer="0.3"/>
  <pageSetup paperSize="9" orientation="portrait" horizontalDpi="4294967293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81EAD6-FB84-4362-87BB-EAEE39C9B905}">
  <sheetPr codeName="Sheet22"/>
  <dimension ref="A1:L4"/>
  <sheetViews>
    <sheetView workbookViewId="0">
      <selection activeCell="C12" sqref="C12"/>
    </sheetView>
  </sheetViews>
  <sheetFormatPr defaultRowHeight="18.75"/>
  <cols>
    <col min="1" max="1" width="11" bestFit="1" customWidth="1"/>
  </cols>
  <sheetData>
    <row r="1" spans="1:12">
      <c r="A1" s="119" t="s">
        <v>93</v>
      </c>
      <c r="B1" s="119"/>
      <c r="C1" s="105" t="s">
        <v>224</v>
      </c>
      <c r="D1" s="120" t="s">
        <v>168</v>
      </c>
      <c r="E1" s="120"/>
      <c r="F1" s="120"/>
      <c r="G1" s="121" t="s">
        <v>99</v>
      </c>
      <c r="H1" s="121"/>
      <c r="I1" s="121"/>
      <c r="J1" s="122" t="s">
        <v>100</v>
      </c>
      <c r="K1" s="122"/>
      <c r="L1" s="122"/>
    </row>
    <row r="2" spans="1:12">
      <c r="A2" s="31" t="s">
        <v>93</v>
      </c>
      <c r="B2" s="31" t="s">
        <v>94</v>
      </c>
      <c r="C2" s="106" t="s">
        <v>225</v>
      </c>
      <c r="D2" s="28" t="s">
        <v>96</v>
      </c>
      <c r="E2" s="28" t="s">
        <v>97</v>
      </c>
      <c r="F2" s="28" t="s">
        <v>98</v>
      </c>
      <c r="G2" s="29" t="s">
        <v>96</v>
      </c>
      <c r="H2" s="29" t="s">
        <v>97</v>
      </c>
      <c r="I2" s="29" t="s">
        <v>98</v>
      </c>
      <c r="J2" s="30" t="s">
        <v>96</v>
      </c>
      <c r="K2" s="30" t="s">
        <v>97</v>
      </c>
      <c r="L2" s="30" t="s">
        <v>98</v>
      </c>
    </row>
    <row r="3" spans="1:12">
      <c r="A3" s="21" t="s">
        <v>79</v>
      </c>
      <c r="B3" s="21">
        <f>IF(A3="","",VLOOKUP(A3,プレイヤー名_ID,2,FALSE))</f>
        <v>10000</v>
      </c>
      <c r="C3" s="103">
        <v>75</v>
      </c>
      <c r="D3" s="21">
        <v>45</v>
      </c>
      <c r="E3" s="21">
        <v>0</v>
      </c>
      <c r="F3" s="21">
        <v>0</v>
      </c>
      <c r="G3" s="21">
        <v>0.02</v>
      </c>
      <c r="H3" s="21">
        <v>0.02</v>
      </c>
      <c r="I3" s="21">
        <v>0.02</v>
      </c>
      <c r="J3" s="21">
        <v>0</v>
      </c>
      <c r="K3" s="21">
        <f>RADIANS(270)</f>
        <v>4.7123889803846897</v>
      </c>
      <c r="L3" s="21">
        <v>0</v>
      </c>
    </row>
    <row r="4" spans="1:12">
      <c r="A4" s="21" t="s">
        <v>77</v>
      </c>
      <c r="B4" s="21">
        <f>IF(A4="","",VLOOKUP(A4,プレイヤー名_ID,2,FALSE))</f>
        <v>10001</v>
      </c>
      <c r="C4" s="103">
        <v>75</v>
      </c>
      <c r="D4" s="21">
        <v>0</v>
      </c>
      <c r="E4" s="21">
        <v>0</v>
      </c>
      <c r="F4" s="21">
        <v>0</v>
      </c>
      <c r="G4" s="21">
        <v>0.02</v>
      </c>
      <c r="H4" s="21">
        <v>0.02</v>
      </c>
      <c r="I4" s="21">
        <v>0.02</v>
      </c>
      <c r="J4" s="21">
        <v>0</v>
      </c>
      <c r="K4" s="21">
        <v>0</v>
      </c>
      <c r="L4" s="21">
        <v>0</v>
      </c>
    </row>
  </sheetData>
  <mergeCells count="4">
    <mergeCell ref="A1:B1"/>
    <mergeCell ref="D1:F1"/>
    <mergeCell ref="G1:I1"/>
    <mergeCell ref="J1:L1"/>
  </mergeCells>
  <phoneticPr fontId="17"/>
  <dataValidations count="1">
    <dataValidation type="list" allowBlank="1" showInputMessage="1" showErrorMessage="1" sqref="A3:A4" xr:uid="{BE2A078D-0F46-4DB0-878E-739118E11BD4}">
      <formula1>プレイヤー名</formula1>
    </dataValidation>
  </dataValidation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79E2BB-899E-4B09-B796-9D0391A334A1}">
  <sheetPr codeName="Sheet19"/>
  <dimension ref="A1:E3"/>
  <sheetViews>
    <sheetView workbookViewId="0">
      <selection activeCell="D11" sqref="D11"/>
    </sheetView>
  </sheetViews>
  <sheetFormatPr defaultRowHeight="18.75"/>
  <cols>
    <col min="2" max="2" width="10" customWidth="1"/>
    <col min="3" max="3" width="11.25" bestFit="1" customWidth="1"/>
    <col min="5" max="5" width="24.25" customWidth="1"/>
  </cols>
  <sheetData>
    <row r="1" spans="1:5">
      <c r="A1" s="80" t="s">
        <v>5</v>
      </c>
      <c r="B1" s="80" t="s">
        <v>139</v>
      </c>
      <c r="C1" s="81" t="s">
        <v>140</v>
      </c>
      <c r="D1" s="81" t="s">
        <v>139</v>
      </c>
      <c r="E1" s="33" t="s">
        <v>141</v>
      </c>
    </row>
    <row r="2" spans="1:5">
      <c r="A2" s="77" t="s">
        <v>175</v>
      </c>
      <c r="B2" s="77">
        <f>IF(A2="","",VLOOKUP(A2,NPC名_ID,2,FALSE))</f>
        <v>15000</v>
      </c>
      <c r="C2" s="77" t="s">
        <v>146</v>
      </c>
      <c r="D2" s="77">
        <f>IF(C2="","",VLOOKUP(C2,モーション名_ID,2,FALSE))</f>
        <v>0</v>
      </c>
      <c r="E2" s="91" t="s">
        <v>177</v>
      </c>
    </row>
    <row r="3" spans="1:5">
      <c r="A3" s="77" t="s">
        <v>175</v>
      </c>
      <c r="B3" s="77">
        <f>IF(A3="","",VLOOKUP(A3,NPC名_ID,2,FALSE))</f>
        <v>15000</v>
      </c>
      <c r="C3" s="77" t="s">
        <v>148</v>
      </c>
      <c r="D3" s="77">
        <f>IF(C3="","",VLOOKUP(C3,モーション名_ID,2,FALSE))</f>
        <v>1</v>
      </c>
      <c r="E3" s="91" t="s">
        <v>178</v>
      </c>
    </row>
  </sheetData>
  <phoneticPr fontId="17"/>
  <dataValidations count="2">
    <dataValidation type="list" allowBlank="1" showInputMessage="1" showErrorMessage="1" sqref="C2:C3" xr:uid="{5D0ABD20-5D30-45FB-911F-D13E5CF7D209}">
      <formula1>モーション名</formula1>
    </dataValidation>
    <dataValidation type="list" allowBlank="1" showInputMessage="1" showErrorMessage="1" sqref="A2:A3" xr:uid="{5D4A8210-EE92-45D6-B014-9A67AED46203}">
      <formula1>NPC名</formula1>
    </dataValidation>
  </dataValidation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B6F5BB-2626-4F9A-89AE-6BD0767811A2}">
  <sheetPr codeName="Sheet23"/>
  <dimension ref="A1:L3"/>
  <sheetViews>
    <sheetView workbookViewId="0">
      <selection activeCell="F3" sqref="F3"/>
    </sheetView>
  </sheetViews>
  <sheetFormatPr defaultRowHeight="18.75"/>
  <cols>
    <col min="1" max="1" width="11" bestFit="1" customWidth="1"/>
  </cols>
  <sheetData>
    <row r="1" spans="1:12">
      <c r="A1" s="119" t="s">
        <v>93</v>
      </c>
      <c r="B1" s="119"/>
      <c r="C1" s="26" t="s">
        <v>224</v>
      </c>
      <c r="D1" s="120" t="s">
        <v>168</v>
      </c>
      <c r="E1" s="120"/>
      <c r="F1" s="120"/>
      <c r="G1" s="121" t="s">
        <v>99</v>
      </c>
      <c r="H1" s="121"/>
      <c r="I1" s="121"/>
      <c r="J1" s="122" t="s">
        <v>100</v>
      </c>
      <c r="K1" s="122"/>
      <c r="L1" s="122"/>
    </row>
    <row r="2" spans="1:12">
      <c r="A2" s="31" t="s">
        <v>93</v>
      </c>
      <c r="B2" s="31" t="s">
        <v>94</v>
      </c>
      <c r="C2" s="106" t="s">
        <v>225</v>
      </c>
      <c r="D2" s="28" t="s">
        <v>96</v>
      </c>
      <c r="E2" s="28" t="s">
        <v>97</v>
      </c>
      <c r="F2" s="28" t="s">
        <v>98</v>
      </c>
      <c r="G2" s="29" t="s">
        <v>96</v>
      </c>
      <c r="H2" s="29" t="s">
        <v>97</v>
      </c>
      <c r="I2" s="29" t="s">
        <v>98</v>
      </c>
      <c r="J2" s="30" t="s">
        <v>96</v>
      </c>
      <c r="K2" s="30" t="s">
        <v>97</v>
      </c>
      <c r="L2" s="30" t="s">
        <v>98</v>
      </c>
    </row>
    <row r="3" spans="1:12">
      <c r="A3" s="21" t="s">
        <v>175</v>
      </c>
      <c r="B3" s="21">
        <f>IF(A3="","",VLOOKUP(A3,NPC名_ID,2,FALSE))</f>
        <v>15000</v>
      </c>
      <c r="C3" s="103">
        <v>70</v>
      </c>
      <c r="D3" s="21">
        <v>25</v>
      </c>
      <c r="E3" s="21">
        <v>0</v>
      </c>
      <c r="F3" s="21">
        <v>-10</v>
      </c>
      <c r="G3" s="21">
        <v>0.02</v>
      </c>
      <c r="H3" s="21">
        <v>0.02</v>
      </c>
      <c r="I3" s="21">
        <v>0.02</v>
      </c>
      <c r="J3" s="21">
        <v>0</v>
      </c>
      <c r="K3" s="21">
        <v>0</v>
      </c>
      <c r="L3" s="21">
        <v>0</v>
      </c>
    </row>
  </sheetData>
  <mergeCells count="4">
    <mergeCell ref="A1:B1"/>
    <mergeCell ref="D1:F1"/>
    <mergeCell ref="G1:I1"/>
    <mergeCell ref="J1:L1"/>
  </mergeCells>
  <phoneticPr fontId="17"/>
  <dataValidations count="1">
    <dataValidation type="list" allowBlank="1" showInputMessage="1" showErrorMessage="1" sqref="A3" xr:uid="{945176C3-7C14-4628-BADD-7C690C526C20}">
      <formula1>NPC名</formula1>
    </dataValidation>
  </dataValidation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557BDA-836C-480F-912B-A3A8A3583394}">
  <sheetPr codeName="Sheet20"/>
  <dimension ref="A1:H10"/>
  <sheetViews>
    <sheetView zoomScaleNormal="100" workbookViewId="0">
      <selection activeCell="D11" sqref="D11"/>
    </sheetView>
  </sheetViews>
  <sheetFormatPr defaultRowHeight="18.75"/>
  <cols>
    <col min="3" max="3" width="8.25" bestFit="1" customWidth="1"/>
    <col min="4" max="4" width="18" bestFit="1" customWidth="1"/>
    <col min="5" max="5" width="8.25" bestFit="1" customWidth="1"/>
    <col min="6" max="6" width="15.25" customWidth="1"/>
    <col min="7" max="7" width="10.875" customWidth="1"/>
    <col min="8" max="8" width="44.625" customWidth="1"/>
  </cols>
  <sheetData>
    <row r="1" spans="1:8">
      <c r="A1" s="92" t="s">
        <v>93</v>
      </c>
      <c r="B1" s="92" t="s">
        <v>94</v>
      </c>
      <c r="C1" s="27" t="s">
        <v>179</v>
      </c>
      <c r="D1" s="25" t="s">
        <v>184</v>
      </c>
      <c r="E1" s="93" t="s">
        <v>181</v>
      </c>
    </row>
    <row r="2" spans="1:8">
      <c r="A2" s="94" t="s">
        <v>175</v>
      </c>
      <c r="B2" s="94">
        <f>IF(A2="","",VLOOKUP(A2,NPC名_ID,2,FALSE))</f>
        <v>15000</v>
      </c>
      <c r="C2" s="94">
        <v>1</v>
      </c>
      <c r="D2" s="94">
        <v>4</v>
      </c>
      <c r="E2" s="94">
        <v>0</v>
      </c>
    </row>
    <row r="3" spans="1:8">
      <c r="A3" s="129" t="s">
        <v>185</v>
      </c>
      <c r="B3" s="129"/>
      <c r="C3" s="129"/>
      <c r="D3" s="129"/>
      <c r="E3" s="129"/>
      <c r="F3" s="129"/>
      <c r="G3" s="129"/>
      <c r="H3" s="129"/>
    </row>
    <row r="4" spans="1:8">
      <c r="A4" s="129" t="s">
        <v>186</v>
      </c>
      <c r="B4" s="129"/>
      <c r="C4" s="129"/>
      <c r="D4" s="129"/>
      <c r="E4" s="129"/>
      <c r="F4" s="129"/>
      <c r="G4" s="129"/>
      <c r="H4" s="129"/>
    </row>
    <row r="5" spans="1:8">
      <c r="A5" s="129" t="s">
        <v>180</v>
      </c>
      <c r="B5" s="129"/>
      <c r="C5" s="129"/>
      <c r="D5" s="129"/>
      <c r="E5" s="129"/>
      <c r="F5" s="129"/>
      <c r="G5" s="129"/>
      <c r="H5" s="129"/>
    </row>
    <row r="6" spans="1:8">
      <c r="A6" s="129" t="s">
        <v>187</v>
      </c>
      <c r="B6" s="129"/>
      <c r="C6" s="129"/>
      <c r="D6" s="129"/>
      <c r="E6" s="129"/>
      <c r="F6" s="129"/>
      <c r="G6" s="129"/>
      <c r="H6" s="129"/>
    </row>
    <row r="7" spans="1:8">
      <c r="A7" s="107" t="s">
        <v>175</v>
      </c>
      <c r="B7" s="107">
        <f>IF(A7="","",VLOOKUP(A7,NPC名_ID,2,FALSE))</f>
        <v>15000</v>
      </c>
      <c r="C7" s="107">
        <v>1</v>
      </c>
      <c r="D7" s="107">
        <v>3</v>
      </c>
      <c r="E7" s="107">
        <v>1</v>
      </c>
    </row>
    <row r="8" spans="1:8">
      <c r="A8" s="123" t="s">
        <v>182</v>
      </c>
      <c r="B8" s="124"/>
      <c r="C8" s="124"/>
      <c r="D8" s="124"/>
      <c r="E8" s="124"/>
      <c r="F8" s="124"/>
      <c r="G8" s="124"/>
      <c r="H8" s="125"/>
    </row>
    <row r="9" spans="1:8">
      <c r="A9" s="126" t="s">
        <v>188</v>
      </c>
      <c r="B9" s="127"/>
      <c r="C9" s="127"/>
      <c r="D9" s="127"/>
      <c r="E9" s="127"/>
      <c r="F9" s="127"/>
      <c r="G9" s="127"/>
      <c r="H9" s="128"/>
    </row>
    <row r="10" spans="1:8" ht="18.75" customHeight="1">
      <c r="A10" s="126" t="s">
        <v>183</v>
      </c>
      <c r="B10" s="127"/>
      <c r="C10" s="127"/>
      <c r="D10" s="127"/>
      <c r="E10" s="127"/>
      <c r="F10" s="127"/>
      <c r="G10" s="127"/>
      <c r="H10" s="128"/>
    </row>
  </sheetData>
  <mergeCells count="7">
    <mergeCell ref="A8:H8"/>
    <mergeCell ref="A9:H9"/>
    <mergeCell ref="A10:H10"/>
    <mergeCell ref="A3:H3"/>
    <mergeCell ref="A4:H4"/>
    <mergeCell ref="A5:H5"/>
    <mergeCell ref="A6:H6"/>
  </mergeCells>
  <phoneticPr fontId="17"/>
  <dataValidations count="1">
    <dataValidation type="list" allowBlank="1" showInputMessage="1" showErrorMessage="1" sqref="A2 A7" xr:uid="{3B4949FA-C379-449B-BC02-C20BBF9C2BC6}">
      <formula1>NPC名</formula1>
    </dataValidation>
  </dataValidations>
  <pageMargins left="0.7" right="0.7" top="0.75" bottom="0.75" header="0.3" footer="0.3"/>
  <pageSetup paperSize="9" orientation="portrait" horizontalDpi="4294967293" verticalDpi="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DE029A-3396-4846-9653-5606D3AE68B8}">
  <sheetPr codeName="Sheet4"/>
  <dimension ref="A1:I4"/>
  <sheetViews>
    <sheetView workbookViewId="0">
      <selection activeCell="E4" sqref="E4"/>
    </sheetView>
  </sheetViews>
  <sheetFormatPr defaultRowHeight="18.75"/>
  <cols>
    <col min="1" max="1" width="14" style="1" customWidth="1"/>
    <col min="2" max="2" width="8.75" style="1" customWidth="1"/>
    <col min="3" max="3" width="10.625" style="1" customWidth="1"/>
    <col min="4" max="4" width="10.375" style="1" customWidth="1"/>
    <col min="5" max="16384" width="9" style="1"/>
  </cols>
  <sheetData>
    <row r="1" spans="1:9">
      <c r="A1" s="78" t="s">
        <v>5</v>
      </c>
      <c r="B1" s="78" t="s">
        <v>6</v>
      </c>
      <c r="C1" s="84" t="s">
        <v>49</v>
      </c>
      <c r="D1" s="84" t="s">
        <v>50</v>
      </c>
      <c r="E1" s="2" t="s">
        <v>4</v>
      </c>
      <c r="F1" s="2" t="s">
        <v>3</v>
      </c>
      <c r="G1" s="2" t="s">
        <v>2</v>
      </c>
      <c r="H1" s="2" t="s">
        <v>1</v>
      </c>
      <c r="I1" s="2" t="s">
        <v>0</v>
      </c>
    </row>
    <row r="2" spans="1:9">
      <c r="A2" s="77" t="s">
        <v>13</v>
      </c>
      <c r="B2" s="77">
        <f>IF(A2="","",VLOOKUP(A2, 敵名_ID,2,))</f>
        <v>20000</v>
      </c>
      <c r="C2" s="82" t="s">
        <v>142</v>
      </c>
      <c r="D2" s="77">
        <f>IF(C2="","",VLOOKUP(C2, 敵タイプ_ID,2,))</f>
        <v>0</v>
      </c>
      <c r="E2" s="77">
        <v>20</v>
      </c>
      <c r="F2" s="77">
        <v>10</v>
      </c>
      <c r="G2" s="77">
        <v>17</v>
      </c>
      <c r="H2" s="77">
        <v>18</v>
      </c>
      <c r="I2" s="77">
        <v>12</v>
      </c>
    </row>
    <row r="3" spans="1:9">
      <c r="A3" s="77" t="s">
        <v>14</v>
      </c>
      <c r="B3" s="77">
        <f>IF(A3="","",VLOOKUP(A3, 敵名_ID,2,))</f>
        <v>20001</v>
      </c>
      <c r="C3" s="82" t="s">
        <v>142</v>
      </c>
      <c r="D3" s="77">
        <f>IF(C3="","",VLOOKUP(C3, 敵タイプ_ID,2,))</f>
        <v>0</v>
      </c>
      <c r="E3" s="77">
        <v>25</v>
      </c>
      <c r="F3" s="77">
        <v>10</v>
      </c>
      <c r="G3" s="77">
        <v>22</v>
      </c>
      <c r="H3" s="77">
        <v>13</v>
      </c>
      <c r="I3" s="77">
        <v>10</v>
      </c>
    </row>
    <row r="4" spans="1:9">
      <c r="A4" s="83" t="s">
        <v>47</v>
      </c>
      <c r="B4" s="77">
        <f>IF(A4="","",VLOOKUP(A4, 敵名_ID,2,))</f>
        <v>20002</v>
      </c>
      <c r="C4" s="82" t="s">
        <v>144</v>
      </c>
      <c r="D4" s="77">
        <f>IF(C4="","",VLOOKUP(C4, 敵タイプ_ID,2,))</f>
        <v>1</v>
      </c>
      <c r="E4" s="77">
        <v>280</v>
      </c>
      <c r="F4" s="77">
        <v>20</v>
      </c>
      <c r="G4" s="77">
        <v>27</v>
      </c>
      <c r="H4" s="77">
        <v>30</v>
      </c>
      <c r="I4" s="77">
        <v>20</v>
      </c>
    </row>
  </sheetData>
  <phoneticPr fontId="17"/>
  <dataValidations count="2">
    <dataValidation type="list" allowBlank="1" showInputMessage="1" showErrorMessage="1" sqref="A2:A4" xr:uid="{A68B21EC-39DD-4797-ABB7-AC107A142AEA}">
      <formula1>敵名</formula1>
    </dataValidation>
    <dataValidation type="list" allowBlank="1" showInputMessage="1" showErrorMessage="1" sqref="C2:C4" xr:uid="{23930A15-99BF-4D39-9656-4019537D2A96}">
      <formula1>敵タイプ</formula1>
    </dataValidation>
  </dataValidations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7FF152-9396-4FC3-9F33-A606A2509458}">
  <sheetPr codeName="Sheet5"/>
  <dimension ref="A1:E21"/>
  <sheetViews>
    <sheetView workbookViewId="0">
      <selection activeCell="E22" sqref="E22"/>
    </sheetView>
  </sheetViews>
  <sheetFormatPr defaultRowHeight="18.75"/>
  <cols>
    <col min="1" max="1" width="15.125" style="1" bestFit="1" customWidth="1"/>
    <col min="2" max="2" width="9" style="1"/>
    <col min="3" max="3" width="11.25" style="1" bestFit="1" customWidth="1"/>
    <col min="4" max="4" width="10.125" style="1" bestFit="1" customWidth="1"/>
    <col min="5" max="5" width="33.625" style="1" bestFit="1" customWidth="1"/>
    <col min="6" max="16384" width="9" style="1"/>
  </cols>
  <sheetData>
    <row r="1" spans="1:5">
      <c r="A1" s="85" t="s">
        <v>5</v>
      </c>
      <c r="B1" s="85" t="s">
        <v>6</v>
      </c>
      <c r="C1" s="86" t="s">
        <v>103</v>
      </c>
      <c r="D1" s="87" t="s">
        <v>104</v>
      </c>
      <c r="E1" s="5" t="s">
        <v>141</v>
      </c>
    </row>
    <row r="2" spans="1:5">
      <c r="A2" s="77" t="s">
        <v>13</v>
      </c>
      <c r="B2" s="77">
        <f t="shared" ref="B2:B15" si="0">IF(A2="","",VLOOKUP(A2, 敵名_ID,2,))</f>
        <v>20000</v>
      </c>
      <c r="C2" s="77" t="s">
        <v>146</v>
      </c>
      <c r="D2" s="77">
        <f t="shared" ref="D2:D15" si="1">IF(C2="","",VLOOKUP(C2, モーション名_ID,2,FALSE))</f>
        <v>0</v>
      </c>
      <c r="E2" s="99" t="s">
        <v>202</v>
      </c>
    </row>
    <row r="3" spans="1:5">
      <c r="A3" s="77" t="s">
        <v>13</v>
      </c>
      <c r="B3" s="77">
        <f t="shared" si="0"/>
        <v>20000</v>
      </c>
      <c r="C3" s="77" t="s">
        <v>148</v>
      </c>
      <c r="D3" s="77">
        <f t="shared" si="1"/>
        <v>1</v>
      </c>
      <c r="E3" s="99" t="s">
        <v>203</v>
      </c>
    </row>
    <row r="4" spans="1:5">
      <c r="A4" s="77" t="s">
        <v>13</v>
      </c>
      <c r="B4" s="77">
        <f t="shared" si="0"/>
        <v>20000</v>
      </c>
      <c r="C4" s="77" t="s">
        <v>150</v>
      </c>
      <c r="D4" s="77">
        <f t="shared" si="1"/>
        <v>2</v>
      </c>
      <c r="E4" s="99" t="s">
        <v>206</v>
      </c>
    </row>
    <row r="5" spans="1:5">
      <c r="A5" s="77" t="s">
        <v>13</v>
      </c>
      <c r="B5" s="77">
        <f t="shared" si="0"/>
        <v>20000</v>
      </c>
      <c r="C5" s="77" t="s">
        <v>152</v>
      </c>
      <c r="D5" s="77">
        <f t="shared" si="1"/>
        <v>3</v>
      </c>
      <c r="E5" s="99" t="s">
        <v>204</v>
      </c>
    </row>
    <row r="6" spans="1:5">
      <c r="A6" s="77" t="s">
        <v>13</v>
      </c>
      <c r="B6" s="77">
        <f t="shared" si="0"/>
        <v>20000</v>
      </c>
      <c r="C6" s="77" t="s">
        <v>154</v>
      </c>
      <c r="D6" s="77">
        <f t="shared" si="1"/>
        <v>4</v>
      </c>
      <c r="E6" s="99" t="s">
        <v>205</v>
      </c>
    </row>
    <row r="7" spans="1:5">
      <c r="A7" s="100" t="s">
        <v>13</v>
      </c>
      <c r="B7" s="101">
        <v>20000</v>
      </c>
      <c r="C7" s="101" t="s">
        <v>158</v>
      </c>
      <c r="D7" s="101">
        <v>6</v>
      </c>
      <c r="E7" s="102" t="s">
        <v>207</v>
      </c>
    </row>
    <row r="8" spans="1:5">
      <c r="A8" s="100" t="s">
        <v>13</v>
      </c>
      <c r="B8" s="101">
        <v>20000</v>
      </c>
      <c r="C8" s="101" t="s">
        <v>197</v>
      </c>
      <c r="D8" s="101">
        <v>7</v>
      </c>
      <c r="E8" s="102" t="s">
        <v>214</v>
      </c>
    </row>
    <row r="9" spans="1:5">
      <c r="A9" s="77" t="s">
        <v>14</v>
      </c>
      <c r="B9" s="77">
        <f t="shared" si="0"/>
        <v>20001</v>
      </c>
      <c r="C9" s="77" t="s">
        <v>146</v>
      </c>
      <c r="D9" s="77">
        <f t="shared" si="1"/>
        <v>0</v>
      </c>
      <c r="E9" s="99" t="s">
        <v>208</v>
      </c>
    </row>
    <row r="10" spans="1:5">
      <c r="A10" s="77" t="s">
        <v>14</v>
      </c>
      <c r="B10" s="77">
        <f t="shared" si="0"/>
        <v>20001</v>
      </c>
      <c r="C10" s="77" t="s">
        <v>148</v>
      </c>
      <c r="D10" s="77">
        <f t="shared" si="1"/>
        <v>1</v>
      </c>
      <c r="E10" s="99" t="s">
        <v>209</v>
      </c>
    </row>
    <row r="11" spans="1:5">
      <c r="A11" s="77" t="s">
        <v>14</v>
      </c>
      <c r="B11" s="77">
        <f t="shared" si="0"/>
        <v>20001</v>
      </c>
      <c r="C11" s="77" t="s">
        <v>150</v>
      </c>
      <c r="D11" s="77">
        <f t="shared" si="1"/>
        <v>2</v>
      </c>
      <c r="E11" s="99" t="s">
        <v>210</v>
      </c>
    </row>
    <row r="12" spans="1:5">
      <c r="A12" s="77" t="s">
        <v>14</v>
      </c>
      <c r="B12" s="77">
        <f t="shared" si="0"/>
        <v>20001</v>
      </c>
      <c r="C12" s="77" t="s">
        <v>152</v>
      </c>
      <c r="D12" s="77">
        <f t="shared" si="1"/>
        <v>3</v>
      </c>
      <c r="E12" s="99" t="s">
        <v>211</v>
      </c>
    </row>
    <row r="13" spans="1:5">
      <c r="A13" s="77" t="s">
        <v>14</v>
      </c>
      <c r="B13" s="77">
        <f t="shared" si="0"/>
        <v>20001</v>
      </c>
      <c r="C13" s="77" t="s">
        <v>154</v>
      </c>
      <c r="D13" s="77">
        <f t="shared" si="1"/>
        <v>4</v>
      </c>
      <c r="E13" s="99" t="s">
        <v>212</v>
      </c>
    </row>
    <row r="14" spans="1:5">
      <c r="A14" s="77" t="s">
        <v>14</v>
      </c>
      <c r="B14" s="77">
        <f t="shared" si="0"/>
        <v>20001</v>
      </c>
      <c r="C14" s="77" t="s">
        <v>158</v>
      </c>
      <c r="D14" s="77">
        <f t="shared" si="1"/>
        <v>6</v>
      </c>
      <c r="E14" s="99" t="s">
        <v>213</v>
      </c>
    </row>
    <row r="15" spans="1:5">
      <c r="A15" s="77" t="s">
        <v>14</v>
      </c>
      <c r="B15" s="77">
        <f t="shared" si="0"/>
        <v>20001</v>
      </c>
      <c r="C15" s="77" t="s">
        <v>197</v>
      </c>
      <c r="D15" s="77">
        <f t="shared" si="1"/>
        <v>7</v>
      </c>
      <c r="E15" s="99" t="s">
        <v>215</v>
      </c>
    </row>
    <row r="16" spans="1:5">
      <c r="A16" s="77" t="s">
        <v>47</v>
      </c>
      <c r="B16" s="77">
        <f t="shared" ref="B16:B18" si="2">IF(A16="","",VLOOKUP(A16, 敵名_ID,2,))</f>
        <v>20002</v>
      </c>
      <c r="C16" s="77" t="s">
        <v>146</v>
      </c>
      <c r="D16" s="77">
        <f t="shared" ref="D16:D18" si="3">IF(C16="","",VLOOKUP(C16, モーション名_ID,2,FALSE))</f>
        <v>0</v>
      </c>
      <c r="E16" s="99" t="s">
        <v>216</v>
      </c>
    </row>
    <row r="17" spans="1:5">
      <c r="A17" s="77" t="s">
        <v>47</v>
      </c>
      <c r="B17" s="77">
        <f t="shared" si="2"/>
        <v>20002</v>
      </c>
      <c r="C17" s="77" t="s">
        <v>148</v>
      </c>
      <c r="D17" s="77">
        <f t="shared" si="3"/>
        <v>1</v>
      </c>
      <c r="E17" s="99" t="s">
        <v>217</v>
      </c>
    </row>
    <row r="18" spans="1:5">
      <c r="A18" s="77" t="s">
        <v>47</v>
      </c>
      <c r="B18" s="77">
        <f t="shared" si="2"/>
        <v>20002</v>
      </c>
      <c r="C18" s="77" t="s">
        <v>152</v>
      </c>
      <c r="D18" s="77">
        <f t="shared" si="3"/>
        <v>3</v>
      </c>
      <c r="E18" s="99" t="s">
        <v>218</v>
      </c>
    </row>
    <row r="19" spans="1:5">
      <c r="A19" s="77" t="s">
        <v>47</v>
      </c>
      <c r="B19" s="77">
        <f t="shared" ref="B19:B20" si="4">IF(A19="","",VLOOKUP(A19, 敵名_ID,2,))</f>
        <v>20002</v>
      </c>
      <c r="C19" s="77" t="s">
        <v>154</v>
      </c>
      <c r="D19" s="77">
        <f t="shared" ref="D19:D20" si="5">IF(C19="","",VLOOKUP(C19, モーション名_ID,2,FALSE))</f>
        <v>4</v>
      </c>
      <c r="E19" s="99" t="s">
        <v>219</v>
      </c>
    </row>
    <row r="20" spans="1:5">
      <c r="A20" s="77" t="s">
        <v>47</v>
      </c>
      <c r="B20" s="77">
        <f t="shared" si="4"/>
        <v>20002</v>
      </c>
      <c r="C20" s="77" t="s">
        <v>158</v>
      </c>
      <c r="D20" s="77">
        <f t="shared" si="5"/>
        <v>6</v>
      </c>
      <c r="E20" s="99" t="s">
        <v>220</v>
      </c>
    </row>
    <row r="21" spans="1:5">
      <c r="A21" s="77" t="s">
        <v>47</v>
      </c>
      <c r="B21" s="77">
        <f t="shared" ref="B21" si="6">IF(A21="","",VLOOKUP(A21, 敵名_ID,2,))</f>
        <v>20002</v>
      </c>
      <c r="C21" s="77" t="s">
        <v>197</v>
      </c>
      <c r="D21" s="77">
        <f t="shared" ref="D21" si="7">IF(C21="","",VLOOKUP(C21, モーション名_ID,2,FALSE))</f>
        <v>7</v>
      </c>
      <c r="E21" s="99" t="s">
        <v>221</v>
      </c>
    </row>
  </sheetData>
  <phoneticPr fontId="17"/>
  <dataValidations count="2">
    <dataValidation type="list" allowBlank="1" showInputMessage="1" showErrorMessage="1" sqref="A2:A6 A9:A21" xr:uid="{A82FB9BA-223C-4A64-AC2D-FD8A2C23FD65}">
      <formula1>敵名</formula1>
    </dataValidation>
    <dataValidation type="list" allowBlank="1" showInputMessage="1" showErrorMessage="1" sqref="C2:C6 C9:C21" xr:uid="{0CF26517-F971-4127-B6DB-62EDE6EC8220}">
      <formula1>モーション名</formula1>
    </dataValidation>
  </dataValidations>
  <pageMargins left="0.7" right="0.7" top="0.75" bottom="0.75" header="0.3" footer="0.3"/>
  <pageSetup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713D07-89C5-4614-B42A-7211B814EAB1}">
  <sheetPr codeName="Sheet6"/>
  <dimension ref="A1:K30"/>
  <sheetViews>
    <sheetView zoomScale="85" zoomScaleNormal="85" workbookViewId="0">
      <selection activeCell="C3" sqref="C3"/>
    </sheetView>
  </sheetViews>
  <sheetFormatPr defaultRowHeight="18.75"/>
  <cols>
    <col min="1" max="1" width="16.875" style="1" customWidth="1"/>
    <col min="2" max="2" width="17.75" style="1" customWidth="1"/>
    <col min="3" max="3" width="17.375" style="1" customWidth="1"/>
    <col min="4" max="4" width="13.375" style="1" customWidth="1"/>
    <col min="5" max="5" width="15" style="1" customWidth="1"/>
    <col min="6" max="6" width="14.25" style="1" customWidth="1"/>
    <col min="7" max="7" width="13.25" style="1" customWidth="1"/>
    <col min="8" max="8" width="15.5" style="1" customWidth="1"/>
    <col min="9" max="9" width="11.75" style="1" customWidth="1"/>
    <col min="10" max="10" width="13.75" style="1" customWidth="1"/>
    <col min="11" max="11" width="15.875" style="1" customWidth="1"/>
    <col min="12" max="16384" width="9" style="1"/>
  </cols>
  <sheetData>
    <row r="1" spans="1:11">
      <c r="A1" s="2" t="s">
        <v>5</v>
      </c>
      <c r="B1" s="2" t="s">
        <v>6</v>
      </c>
      <c r="C1" s="6" t="s">
        <v>15</v>
      </c>
      <c r="D1" s="6" t="s">
        <v>16</v>
      </c>
      <c r="E1" s="6" t="s">
        <v>17</v>
      </c>
      <c r="F1" s="7" t="s">
        <v>18</v>
      </c>
      <c r="G1" s="7" t="s">
        <v>19</v>
      </c>
      <c r="H1" s="7" t="s">
        <v>17</v>
      </c>
      <c r="I1" s="8" t="s">
        <v>20</v>
      </c>
      <c r="J1" s="8" t="s">
        <v>21</v>
      </c>
      <c r="K1" s="8" t="s">
        <v>17</v>
      </c>
    </row>
    <row r="2" spans="1:11">
      <c r="A2" s="9" t="s">
        <v>13</v>
      </c>
      <c r="B2" s="9">
        <f t="shared" ref="B2:B30" si="0">IF(A2="","",VLOOKUP(A2, 敵名_ID,2,))</f>
        <v>20000</v>
      </c>
      <c r="C2" s="35" t="s">
        <v>45</v>
      </c>
      <c r="D2" s="9">
        <f>IF(C2="","",VLOOKUP(C2, アイテム名_ID, 2, FALSE))</f>
        <v>60000</v>
      </c>
      <c r="E2" s="9">
        <v>100</v>
      </c>
      <c r="F2" s="9"/>
      <c r="G2" s="9"/>
      <c r="H2" s="9"/>
      <c r="I2" s="9"/>
      <c r="J2" s="9"/>
      <c r="K2" s="9"/>
    </row>
    <row r="3" spans="1:11">
      <c r="A3" s="9" t="s">
        <v>14</v>
      </c>
      <c r="B3" s="9">
        <f t="shared" si="0"/>
        <v>20001</v>
      </c>
      <c r="C3" s="9" t="s">
        <v>108</v>
      </c>
      <c r="D3" s="9">
        <f>IF(C3="","",VLOOKUP(C3, アイテム名_ID, 2, FALSE))</f>
        <v>60001</v>
      </c>
      <c r="E3" s="9">
        <v>100</v>
      </c>
      <c r="F3" s="9"/>
      <c r="G3" s="9"/>
      <c r="H3" s="9"/>
      <c r="I3" s="9"/>
      <c r="J3" s="9"/>
      <c r="K3" s="9"/>
    </row>
    <row r="4" spans="1:11">
      <c r="A4" s="9" t="s">
        <v>47</v>
      </c>
      <c r="B4" s="9">
        <f t="shared" si="0"/>
        <v>20002</v>
      </c>
      <c r="C4" s="9" t="s">
        <v>102</v>
      </c>
      <c r="D4" s="9">
        <f>IF(C4="","",VLOOKUP(C4, アイテム名_ID, 2, FALSE))</f>
        <v>50000</v>
      </c>
      <c r="E4" s="9">
        <v>100</v>
      </c>
      <c r="F4" s="9"/>
      <c r="G4" s="9"/>
      <c r="H4" s="9"/>
      <c r="I4" s="9"/>
      <c r="J4" s="9"/>
      <c r="K4" s="9"/>
    </row>
    <row r="5" spans="1:11">
      <c r="A5" s="9"/>
      <c r="B5" s="9" t="str">
        <f t="shared" si="0"/>
        <v/>
      </c>
      <c r="C5" s="9"/>
      <c r="D5" s="9"/>
      <c r="E5" s="9"/>
      <c r="F5" s="9"/>
      <c r="G5" s="9"/>
      <c r="H5" s="9"/>
      <c r="I5" s="9"/>
      <c r="J5" s="9"/>
      <c r="K5" s="9"/>
    </row>
    <row r="6" spans="1:11">
      <c r="A6" s="9"/>
      <c r="B6" s="9" t="str">
        <f t="shared" si="0"/>
        <v/>
      </c>
      <c r="C6" s="9"/>
      <c r="D6" s="9"/>
      <c r="E6" s="9"/>
      <c r="F6" s="9"/>
      <c r="G6" s="9"/>
      <c r="H6" s="9"/>
      <c r="I6" s="9"/>
      <c r="J6" s="9"/>
      <c r="K6" s="9"/>
    </row>
    <row r="7" spans="1:11">
      <c r="A7" s="9"/>
      <c r="B7" s="9" t="str">
        <f t="shared" si="0"/>
        <v/>
      </c>
      <c r="C7" s="9"/>
      <c r="D7" s="9"/>
      <c r="E7" s="9"/>
      <c r="F7" s="9"/>
      <c r="G7" s="9"/>
      <c r="H7" s="9"/>
      <c r="I7" s="9"/>
      <c r="J7" s="9"/>
      <c r="K7" s="9"/>
    </row>
    <row r="8" spans="1:11">
      <c r="A8" s="9"/>
      <c r="B8" s="9" t="str">
        <f t="shared" si="0"/>
        <v/>
      </c>
      <c r="C8" s="9"/>
      <c r="D8" s="9"/>
      <c r="E8" s="9"/>
      <c r="F8" s="9"/>
      <c r="G8" s="9"/>
      <c r="H8" s="9"/>
      <c r="I8" s="9"/>
      <c r="J8" s="9"/>
      <c r="K8" s="9"/>
    </row>
    <row r="9" spans="1:11">
      <c r="A9" s="9"/>
      <c r="B9" s="9" t="str">
        <f t="shared" si="0"/>
        <v/>
      </c>
      <c r="C9" s="9"/>
      <c r="D9" s="9"/>
      <c r="E9" s="9"/>
      <c r="F9" s="9"/>
      <c r="G9" s="9"/>
      <c r="H9" s="9"/>
      <c r="I9" s="9"/>
      <c r="J9" s="9"/>
      <c r="K9" s="9"/>
    </row>
    <row r="10" spans="1:11">
      <c r="A10" s="9"/>
      <c r="B10" s="9" t="str">
        <f t="shared" si="0"/>
        <v/>
      </c>
      <c r="C10" s="9"/>
      <c r="D10" s="9"/>
      <c r="E10" s="9"/>
      <c r="F10" s="9"/>
      <c r="G10" s="9"/>
      <c r="H10" s="9"/>
      <c r="I10" s="9"/>
      <c r="J10" s="9"/>
      <c r="K10" s="9"/>
    </row>
    <row r="11" spans="1:11">
      <c r="A11" s="9"/>
      <c r="B11" s="9" t="str">
        <f t="shared" si="0"/>
        <v/>
      </c>
      <c r="C11" s="9"/>
      <c r="D11" s="9"/>
      <c r="E11" s="9"/>
      <c r="F11" s="9"/>
      <c r="G11" s="9"/>
      <c r="H11" s="9"/>
      <c r="I11" s="9"/>
      <c r="J11" s="9"/>
      <c r="K11" s="9"/>
    </row>
    <row r="12" spans="1:11">
      <c r="A12" s="9"/>
      <c r="B12" s="9" t="str">
        <f t="shared" si="0"/>
        <v/>
      </c>
      <c r="C12" s="9"/>
      <c r="D12" s="9"/>
      <c r="E12" s="9"/>
      <c r="F12" s="9"/>
      <c r="G12" s="9"/>
      <c r="H12" s="9"/>
      <c r="I12" s="9"/>
      <c r="J12" s="9"/>
      <c r="K12" s="9"/>
    </row>
    <row r="13" spans="1:11">
      <c r="A13" s="9"/>
      <c r="B13" s="9" t="str">
        <f t="shared" si="0"/>
        <v/>
      </c>
      <c r="C13" s="9"/>
      <c r="D13" s="9"/>
      <c r="E13" s="9"/>
      <c r="F13" s="9"/>
      <c r="G13" s="9"/>
      <c r="H13" s="9"/>
      <c r="I13" s="9"/>
      <c r="J13" s="9"/>
      <c r="K13" s="9"/>
    </row>
    <row r="14" spans="1:11">
      <c r="A14" s="9"/>
      <c r="B14" s="9" t="str">
        <f t="shared" si="0"/>
        <v/>
      </c>
      <c r="C14" s="9"/>
      <c r="D14" s="9"/>
      <c r="E14" s="9"/>
      <c r="F14" s="9"/>
      <c r="G14" s="9"/>
      <c r="H14" s="9"/>
      <c r="I14" s="9"/>
      <c r="J14" s="9"/>
      <c r="K14" s="9"/>
    </row>
    <row r="15" spans="1:11">
      <c r="A15" s="9"/>
      <c r="B15" s="9" t="str">
        <f t="shared" si="0"/>
        <v/>
      </c>
      <c r="C15" s="9"/>
      <c r="D15" s="9"/>
      <c r="E15" s="9"/>
      <c r="F15" s="9"/>
      <c r="G15" s="9"/>
      <c r="H15" s="9"/>
      <c r="I15" s="9"/>
      <c r="J15" s="9"/>
      <c r="K15" s="9"/>
    </row>
    <row r="16" spans="1:11">
      <c r="A16" s="9"/>
      <c r="B16" s="9" t="str">
        <f t="shared" si="0"/>
        <v/>
      </c>
      <c r="C16" s="9"/>
      <c r="D16" s="9"/>
      <c r="E16" s="9"/>
      <c r="F16" s="9"/>
      <c r="G16" s="9"/>
      <c r="H16" s="9"/>
      <c r="I16" s="9"/>
      <c r="J16" s="9"/>
      <c r="K16" s="9"/>
    </row>
    <row r="17" spans="1:11">
      <c r="A17" s="9"/>
      <c r="B17" s="9" t="str">
        <f t="shared" si="0"/>
        <v/>
      </c>
      <c r="C17" s="9"/>
      <c r="D17" s="9"/>
      <c r="E17" s="9"/>
      <c r="F17" s="9"/>
      <c r="G17" s="9"/>
      <c r="H17" s="9"/>
      <c r="I17" s="9"/>
      <c r="J17" s="9"/>
      <c r="K17" s="9"/>
    </row>
    <row r="18" spans="1:11">
      <c r="A18" s="9"/>
      <c r="B18" s="9" t="str">
        <f t="shared" si="0"/>
        <v/>
      </c>
      <c r="C18" s="9"/>
      <c r="D18" s="9"/>
      <c r="E18" s="9"/>
      <c r="F18" s="9"/>
      <c r="G18" s="9"/>
      <c r="H18" s="9"/>
      <c r="I18" s="9"/>
      <c r="J18" s="9"/>
      <c r="K18" s="9"/>
    </row>
    <row r="19" spans="1:11">
      <c r="A19" s="9"/>
      <c r="B19" s="9" t="str">
        <f t="shared" si="0"/>
        <v/>
      </c>
      <c r="C19" s="9"/>
      <c r="D19" s="9"/>
      <c r="E19" s="9"/>
      <c r="F19" s="9"/>
      <c r="G19" s="9"/>
      <c r="H19" s="9"/>
      <c r="I19" s="9"/>
      <c r="J19" s="9"/>
      <c r="K19" s="9"/>
    </row>
    <row r="20" spans="1:11">
      <c r="A20" s="9"/>
      <c r="B20" s="9" t="str">
        <f t="shared" si="0"/>
        <v/>
      </c>
      <c r="C20" s="9"/>
      <c r="D20" s="9"/>
      <c r="E20" s="9"/>
      <c r="F20" s="9"/>
      <c r="G20" s="9"/>
      <c r="H20" s="9"/>
      <c r="I20" s="9"/>
      <c r="J20" s="9"/>
      <c r="K20" s="9"/>
    </row>
    <row r="21" spans="1:11">
      <c r="A21" s="9"/>
      <c r="B21" s="9" t="str">
        <f t="shared" si="0"/>
        <v/>
      </c>
      <c r="C21" s="9"/>
      <c r="D21" s="9"/>
      <c r="E21" s="9"/>
      <c r="F21" s="9"/>
      <c r="G21" s="9"/>
      <c r="H21" s="9"/>
      <c r="I21" s="9"/>
      <c r="J21" s="9"/>
      <c r="K21" s="9"/>
    </row>
    <row r="22" spans="1:11">
      <c r="A22" s="9"/>
      <c r="B22" s="9" t="str">
        <f t="shared" si="0"/>
        <v/>
      </c>
      <c r="C22" s="9"/>
      <c r="D22" s="9"/>
      <c r="E22" s="9"/>
      <c r="F22" s="9"/>
      <c r="G22" s="9"/>
      <c r="H22" s="9"/>
      <c r="I22" s="9"/>
      <c r="J22" s="9"/>
      <c r="K22" s="9"/>
    </row>
    <row r="23" spans="1:11">
      <c r="A23" s="9"/>
      <c r="B23" s="9" t="str">
        <f t="shared" si="0"/>
        <v/>
      </c>
      <c r="C23" s="9"/>
      <c r="D23" s="9"/>
      <c r="E23" s="9"/>
      <c r="F23" s="9"/>
      <c r="G23" s="9"/>
      <c r="H23" s="9"/>
      <c r="I23" s="9"/>
      <c r="J23" s="9"/>
      <c r="K23" s="9"/>
    </row>
    <row r="24" spans="1:11">
      <c r="A24" s="9"/>
      <c r="B24" s="9" t="str">
        <f t="shared" si="0"/>
        <v/>
      </c>
      <c r="C24" s="9"/>
      <c r="D24" s="9"/>
      <c r="E24" s="9"/>
      <c r="F24" s="9"/>
      <c r="G24" s="9"/>
      <c r="H24" s="9"/>
      <c r="I24" s="9"/>
      <c r="J24" s="9"/>
      <c r="K24" s="9"/>
    </row>
    <row r="25" spans="1:11">
      <c r="A25" s="9"/>
      <c r="B25" s="9" t="str">
        <f t="shared" si="0"/>
        <v/>
      </c>
      <c r="C25" s="9"/>
      <c r="D25" s="9"/>
      <c r="E25" s="9"/>
      <c r="F25" s="9"/>
      <c r="G25" s="9"/>
      <c r="H25" s="9"/>
      <c r="I25" s="9"/>
      <c r="J25" s="9"/>
      <c r="K25" s="9"/>
    </row>
    <row r="26" spans="1:11">
      <c r="A26" s="9"/>
      <c r="B26" s="9" t="str">
        <f t="shared" si="0"/>
        <v/>
      </c>
      <c r="C26" s="9"/>
      <c r="D26" s="9"/>
      <c r="E26" s="9"/>
      <c r="F26" s="9"/>
      <c r="G26" s="9"/>
      <c r="H26" s="9"/>
      <c r="I26" s="9"/>
      <c r="J26" s="9"/>
      <c r="K26" s="9"/>
    </row>
    <row r="27" spans="1:11">
      <c r="A27" s="9"/>
      <c r="B27" s="9" t="str">
        <f t="shared" si="0"/>
        <v/>
      </c>
      <c r="C27" s="9"/>
      <c r="D27" s="9"/>
      <c r="E27" s="9"/>
      <c r="F27" s="9"/>
      <c r="G27" s="9"/>
      <c r="H27" s="9"/>
      <c r="I27" s="9"/>
      <c r="J27" s="9"/>
      <c r="K27" s="9"/>
    </row>
    <row r="28" spans="1:11">
      <c r="A28" s="9"/>
      <c r="B28" s="9" t="str">
        <f t="shared" si="0"/>
        <v/>
      </c>
      <c r="C28" s="9"/>
      <c r="D28" s="9"/>
      <c r="E28" s="9"/>
      <c r="F28" s="9"/>
      <c r="G28" s="9"/>
      <c r="H28" s="9"/>
      <c r="I28" s="9"/>
      <c r="J28" s="9"/>
      <c r="K28" s="9"/>
    </row>
    <row r="29" spans="1:11">
      <c r="A29" s="9"/>
      <c r="B29" s="9" t="str">
        <f t="shared" si="0"/>
        <v/>
      </c>
      <c r="C29" s="9"/>
      <c r="D29" s="9"/>
      <c r="E29" s="9"/>
      <c r="F29" s="9"/>
      <c r="G29" s="9"/>
      <c r="H29" s="9"/>
      <c r="I29" s="9"/>
      <c r="J29" s="9"/>
      <c r="K29" s="9"/>
    </row>
    <row r="30" spans="1:11">
      <c r="A30" s="9"/>
      <c r="B30" s="9" t="str">
        <f t="shared" si="0"/>
        <v/>
      </c>
      <c r="C30" s="9"/>
      <c r="D30" s="9"/>
      <c r="E30" s="9"/>
      <c r="F30" s="9"/>
      <c r="G30" s="9"/>
      <c r="H30" s="9"/>
      <c r="I30" s="9"/>
      <c r="J30" s="9"/>
      <c r="K30" s="9"/>
    </row>
  </sheetData>
  <phoneticPr fontId="17"/>
  <dataValidations count="2">
    <dataValidation type="list" allowBlank="1" showInputMessage="1" showErrorMessage="1" sqref="A2:A30" xr:uid="{993CA095-9096-4F41-A0DC-400C75F7ADFC}">
      <formula1>敵名</formula1>
    </dataValidation>
    <dataValidation type="list" allowBlank="1" showInputMessage="1" showErrorMessage="1" sqref="C2:C4" xr:uid="{A3779203-3264-4A7A-AAEE-64B0407F5206}">
      <formula1>アイテム名</formula1>
    </dataValidation>
  </dataValidations>
  <pageMargins left="0.7" right="0.7" top="0.75" bottom="0.75" header="0.3" footer="0.3"/>
  <pageSetup paperSize="9" orientation="portrait" horizontalDpi="4294967293" verticalDpi="0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D73D8E-5C7D-4430-8326-1B1E5FB9DB72}">
  <sheetPr codeName="Sheet21"/>
  <dimension ref="A1:H5"/>
  <sheetViews>
    <sheetView workbookViewId="0">
      <selection activeCell="H4" sqref="H4"/>
    </sheetView>
  </sheetViews>
  <sheetFormatPr defaultRowHeight="18.75"/>
  <cols>
    <col min="1" max="1" width="12.375" bestFit="1" customWidth="1"/>
    <col min="3" max="3" width="11.25" bestFit="1" customWidth="1"/>
    <col min="4" max="4" width="8" customWidth="1"/>
    <col min="5" max="5" width="22.625" bestFit="1" customWidth="1"/>
  </cols>
  <sheetData>
    <row r="1" spans="1:8">
      <c r="A1" s="117" t="s">
        <v>190</v>
      </c>
      <c r="B1" s="117"/>
      <c r="C1" s="117"/>
      <c r="D1" s="117"/>
      <c r="E1" s="117"/>
      <c r="F1" s="118" t="s">
        <v>194</v>
      </c>
      <c r="G1" s="118"/>
      <c r="H1" s="118"/>
    </row>
    <row r="2" spans="1:8">
      <c r="A2" s="80" t="s">
        <v>5</v>
      </c>
      <c r="B2" s="80" t="s">
        <v>139</v>
      </c>
      <c r="C2" s="81" t="s">
        <v>140</v>
      </c>
      <c r="D2" s="81" t="s">
        <v>139</v>
      </c>
      <c r="E2" s="96" t="s">
        <v>189</v>
      </c>
      <c r="F2" s="97" t="s">
        <v>192</v>
      </c>
      <c r="G2" s="97" t="s">
        <v>193</v>
      </c>
      <c r="H2" s="97" t="s">
        <v>191</v>
      </c>
    </row>
    <row r="3" spans="1:8">
      <c r="A3" s="77" t="s">
        <v>13</v>
      </c>
      <c r="B3" s="77">
        <f>IF(A3="","",VLOOKUP(A3, 敵名_ID, 2, FALSE))</f>
        <v>20000</v>
      </c>
      <c r="C3" s="77" t="s">
        <v>154</v>
      </c>
      <c r="D3" s="77">
        <f t="shared" ref="D3:D4" si="0">IF(C3="","",VLOOKUP(C3, モーション名_ID, 2, FALSE))</f>
        <v>4</v>
      </c>
      <c r="E3" s="104" t="s">
        <v>226</v>
      </c>
      <c r="F3" s="103">
        <v>6</v>
      </c>
      <c r="G3" s="103">
        <v>12</v>
      </c>
      <c r="H3" s="103">
        <v>1.5</v>
      </c>
    </row>
    <row r="4" spans="1:8">
      <c r="A4" s="77" t="s">
        <v>14</v>
      </c>
      <c r="B4" s="77">
        <f>IF(A4="","",VLOOKUP(A4, 敵名_ID, 2, FALSE))</f>
        <v>20001</v>
      </c>
      <c r="C4" s="77" t="s">
        <v>154</v>
      </c>
      <c r="D4" s="77">
        <f t="shared" si="0"/>
        <v>4</v>
      </c>
      <c r="E4" s="79" t="s">
        <v>227</v>
      </c>
      <c r="F4" s="103">
        <v>13</v>
      </c>
      <c r="G4" s="103">
        <v>22</v>
      </c>
      <c r="H4" s="103">
        <v>0.8</v>
      </c>
    </row>
    <row r="5" spans="1:8">
      <c r="A5" s="77" t="s">
        <v>47</v>
      </c>
      <c r="B5" s="77">
        <f>IF(A5="","",VLOOKUP(A5, 敵名_ID, 2, FALSE))</f>
        <v>20002</v>
      </c>
      <c r="C5" s="77" t="s">
        <v>154</v>
      </c>
      <c r="D5" s="77">
        <f t="shared" ref="D5" si="1">IF(C5="","",VLOOKUP(C5, モーション名_ID, 2, FALSE))</f>
        <v>4</v>
      </c>
      <c r="E5" s="79" t="s">
        <v>228</v>
      </c>
      <c r="F5" s="103">
        <v>35</v>
      </c>
      <c r="G5" s="103">
        <v>45</v>
      </c>
      <c r="H5" s="103">
        <v>1.5</v>
      </c>
    </row>
  </sheetData>
  <mergeCells count="2">
    <mergeCell ref="A1:E1"/>
    <mergeCell ref="F1:H1"/>
  </mergeCells>
  <phoneticPr fontId="17"/>
  <dataValidations disablePrompts="1" count="2">
    <dataValidation type="list" allowBlank="1" showInputMessage="1" showErrorMessage="1" sqref="A3:A5" xr:uid="{E3151374-2B8B-48C9-8FAC-A7C5B87280BC}">
      <formula1>敵名</formula1>
    </dataValidation>
    <dataValidation type="list" allowBlank="1" showInputMessage="1" showErrorMessage="1" sqref="C3:C5" xr:uid="{1BF66845-F1C9-444D-8503-582DCA0B6571}">
      <formula1>モーション名</formula1>
    </dataValidation>
  </dataValidations>
  <pageMargins left="0.7" right="0.7" top="0.75" bottom="0.75" header="0.3" footer="0.3"/>
  <pageSetup paperSize="9" orientation="portrait" horizontalDpi="4294967293" verticalDpi="0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5364A0-2F7A-4F4C-9B8E-5A8174FEAEF3}">
  <sheetPr codeName="Sheet8"/>
  <dimension ref="A1:L5"/>
  <sheetViews>
    <sheetView workbookViewId="0">
      <selection activeCell="C3" sqref="C3"/>
    </sheetView>
  </sheetViews>
  <sheetFormatPr defaultRowHeight="18.75"/>
  <cols>
    <col min="1" max="1" width="15.125" bestFit="1" customWidth="1"/>
  </cols>
  <sheetData>
    <row r="1" spans="1:12">
      <c r="A1" s="119" t="s">
        <v>93</v>
      </c>
      <c r="B1" s="119"/>
      <c r="C1" s="26" t="s">
        <v>224</v>
      </c>
      <c r="D1" s="120" t="s">
        <v>95</v>
      </c>
      <c r="E1" s="120"/>
      <c r="F1" s="120"/>
      <c r="G1" s="121" t="s">
        <v>99</v>
      </c>
      <c r="H1" s="121"/>
      <c r="I1" s="121"/>
      <c r="J1" s="122" t="s">
        <v>100</v>
      </c>
      <c r="K1" s="122"/>
      <c r="L1" s="122"/>
    </row>
    <row r="2" spans="1:12">
      <c r="A2" s="31" t="s">
        <v>93</v>
      </c>
      <c r="B2" s="31" t="s">
        <v>94</v>
      </c>
      <c r="C2" s="106" t="s">
        <v>225</v>
      </c>
      <c r="D2" s="28" t="s">
        <v>96</v>
      </c>
      <c r="E2" s="28" t="s">
        <v>97</v>
      </c>
      <c r="F2" s="28" t="s">
        <v>98</v>
      </c>
      <c r="G2" s="29" t="s">
        <v>96</v>
      </c>
      <c r="H2" s="29" t="s">
        <v>97</v>
      </c>
      <c r="I2" s="29" t="s">
        <v>98</v>
      </c>
      <c r="J2" s="30" t="s">
        <v>96</v>
      </c>
      <c r="K2" s="30" t="s">
        <v>97</v>
      </c>
      <c r="L2" s="30" t="s">
        <v>98</v>
      </c>
    </row>
    <row r="3" spans="1:12">
      <c r="A3" s="21" t="s">
        <v>13</v>
      </c>
      <c r="B3" s="21">
        <f>IF(A3="","",VLOOKUP(A3,敵名_ID,2,FALSE))</f>
        <v>20000</v>
      </c>
      <c r="C3" s="103">
        <v>140</v>
      </c>
      <c r="D3" s="21">
        <v>-55</v>
      </c>
      <c r="E3" s="21">
        <v>0</v>
      </c>
      <c r="F3" s="21">
        <v>14</v>
      </c>
      <c r="G3" s="21">
        <v>0.02</v>
      </c>
      <c r="H3" s="21">
        <v>0.02</v>
      </c>
      <c r="I3" s="21">
        <v>0.02</v>
      </c>
      <c r="J3" s="21">
        <v>0</v>
      </c>
      <c r="K3" s="21">
        <f>RADIANS(90)</f>
        <v>1.5707963267948966</v>
      </c>
      <c r="L3" s="21">
        <v>0</v>
      </c>
    </row>
    <row r="4" spans="1:12">
      <c r="A4" s="21" t="s">
        <v>14</v>
      </c>
      <c r="B4" s="21">
        <f>IF(A4="","",VLOOKUP(A4,敵名_ID,2,FALSE))</f>
        <v>20001</v>
      </c>
      <c r="C4" s="103">
        <v>110</v>
      </c>
      <c r="D4" s="21">
        <v>-55</v>
      </c>
      <c r="E4" s="21">
        <v>0</v>
      </c>
      <c r="F4" s="21">
        <v>-14</v>
      </c>
      <c r="G4" s="21">
        <v>0.02</v>
      </c>
      <c r="H4" s="21">
        <v>0.02</v>
      </c>
      <c r="I4" s="21">
        <v>0.02</v>
      </c>
      <c r="J4" s="21">
        <v>0</v>
      </c>
      <c r="K4" s="21">
        <f t="shared" ref="K4:K5" si="0">RADIANS(90)</f>
        <v>1.5707963267948966</v>
      </c>
      <c r="L4" s="21">
        <v>0</v>
      </c>
    </row>
    <row r="5" spans="1:12">
      <c r="A5" s="21" t="s">
        <v>47</v>
      </c>
      <c r="B5" s="21">
        <f>IF(A5="","",VLOOKUP(A5,敵名_ID,2,FALSE))</f>
        <v>20002</v>
      </c>
      <c r="C5" s="103">
        <v>90</v>
      </c>
      <c r="D5" s="21">
        <v>-110</v>
      </c>
      <c r="E5" s="21">
        <v>10</v>
      </c>
      <c r="F5" s="21">
        <v>0</v>
      </c>
      <c r="G5" s="21">
        <v>2.5000000000000001E-2</v>
      </c>
      <c r="H5" s="21">
        <v>2.5000000000000001E-2</v>
      </c>
      <c r="I5" s="21">
        <v>2.5000000000000001E-2</v>
      </c>
      <c r="J5" s="21">
        <v>0</v>
      </c>
      <c r="K5" s="21">
        <f t="shared" si="0"/>
        <v>1.5707963267948966</v>
      </c>
      <c r="L5" s="21">
        <v>0</v>
      </c>
    </row>
  </sheetData>
  <mergeCells count="4">
    <mergeCell ref="D1:F1"/>
    <mergeCell ref="G1:I1"/>
    <mergeCell ref="J1:L1"/>
    <mergeCell ref="A1:B1"/>
  </mergeCells>
  <phoneticPr fontId="17"/>
  <dataValidations count="1">
    <dataValidation type="list" allowBlank="1" showInputMessage="1" showErrorMessage="1" sqref="A3:A5" xr:uid="{69F12AA7-DC91-4B58-BF51-CA125A3D3B82}">
      <formula1>敵名</formula1>
    </dataValidation>
  </dataValidations>
  <pageMargins left="0.7" right="0.7" top="0.75" bottom="0.75" header="0.3" footer="0.3"/>
  <pageSetup paperSize="9" orientation="portrait" horizontalDpi="4294967293" verticalDpi="0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7FD3AD-2AD7-4544-AE9C-0CE77051BDBC}">
  <sheetPr codeName="Sheet12"/>
  <dimension ref="A1:F7"/>
  <sheetViews>
    <sheetView workbookViewId="0">
      <selection activeCell="E21" sqref="E21"/>
    </sheetView>
  </sheetViews>
  <sheetFormatPr defaultRowHeight="18.75"/>
  <cols>
    <col min="1" max="1" width="13" bestFit="1" customWidth="1"/>
    <col min="2" max="2" width="8.25" bestFit="1" customWidth="1"/>
    <col min="3" max="3" width="16.375" bestFit="1" customWidth="1"/>
    <col min="4" max="4" width="10.125" bestFit="1" customWidth="1"/>
    <col min="5" max="5" width="21.125" bestFit="1" customWidth="1"/>
    <col min="6" max="6" width="46.375" bestFit="1" customWidth="1"/>
  </cols>
  <sheetData>
    <row r="1" spans="1:6">
      <c r="A1" s="36" t="s">
        <v>5</v>
      </c>
      <c r="B1" s="36" t="s">
        <v>6</v>
      </c>
      <c r="C1" s="37" t="s">
        <v>103</v>
      </c>
      <c r="D1" s="37" t="s">
        <v>104</v>
      </c>
      <c r="E1" s="38" t="s">
        <v>40</v>
      </c>
      <c r="F1" s="48" t="s">
        <v>115</v>
      </c>
    </row>
    <row r="2" spans="1:6">
      <c r="A2" s="21" t="s">
        <v>42</v>
      </c>
      <c r="B2" s="21">
        <f t="shared" ref="B2:B7" si="0">IF(A2="", "", VLOOKUP(A2, アイテム名_ID, 2, FALSE))</f>
        <v>40000</v>
      </c>
      <c r="C2" s="21" t="s">
        <v>110</v>
      </c>
      <c r="D2" s="21">
        <f t="shared" ref="D2:D7" si="1">IF(C2="", "", VLOOKUP(C2, アイテムタイプ名_ID, 2, FALSE))</f>
        <v>0</v>
      </c>
      <c r="E2" s="13" t="s">
        <v>26</v>
      </c>
      <c r="F2" s="47" t="s">
        <v>116</v>
      </c>
    </row>
    <row r="3" spans="1:6">
      <c r="A3" s="21" t="s">
        <v>43</v>
      </c>
      <c r="B3" s="21">
        <f t="shared" si="0"/>
        <v>40001</v>
      </c>
      <c r="C3" s="21" t="s">
        <v>110</v>
      </c>
      <c r="D3" s="21">
        <f t="shared" si="1"/>
        <v>0</v>
      </c>
      <c r="E3" s="9" t="s">
        <v>27</v>
      </c>
      <c r="F3" s="47" t="s">
        <v>117</v>
      </c>
    </row>
    <row r="4" spans="1:6">
      <c r="A4" s="21" t="s">
        <v>44</v>
      </c>
      <c r="B4" s="21">
        <f t="shared" si="0"/>
        <v>45000</v>
      </c>
      <c r="C4" s="21" t="s">
        <v>29</v>
      </c>
      <c r="D4" s="21">
        <f t="shared" si="1"/>
        <v>1</v>
      </c>
      <c r="E4" s="9" t="s">
        <v>28</v>
      </c>
      <c r="F4" s="47" t="s">
        <v>118</v>
      </c>
    </row>
    <row r="5" spans="1:6">
      <c r="A5" s="21" t="s">
        <v>102</v>
      </c>
      <c r="B5" s="21">
        <f t="shared" si="0"/>
        <v>50000</v>
      </c>
      <c r="C5" s="21" t="s">
        <v>111</v>
      </c>
      <c r="D5" s="21">
        <f t="shared" si="1"/>
        <v>2</v>
      </c>
      <c r="E5" s="35" t="s">
        <v>114</v>
      </c>
      <c r="F5" s="47" t="s">
        <v>119</v>
      </c>
    </row>
    <row r="6" spans="1:6">
      <c r="A6" s="21" t="s">
        <v>107</v>
      </c>
      <c r="B6" s="21">
        <f t="shared" si="0"/>
        <v>60000</v>
      </c>
      <c r="C6" s="21" t="s">
        <v>112</v>
      </c>
      <c r="D6" s="21">
        <f t="shared" si="1"/>
        <v>3</v>
      </c>
      <c r="E6" s="13" t="s">
        <v>34</v>
      </c>
      <c r="F6" s="47" t="s">
        <v>120</v>
      </c>
    </row>
    <row r="7" spans="1:6">
      <c r="A7" s="21" t="s">
        <v>108</v>
      </c>
      <c r="B7" s="21">
        <f t="shared" si="0"/>
        <v>60001</v>
      </c>
      <c r="C7" s="21" t="s">
        <v>112</v>
      </c>
      <c r="D7" s="21">
        <f t="shared" si="1"/>
        <v>3</v>
      </c>
      <c r="E7" s="13" t="s">
        <v>32</v>
      </c>
      <c r="F7" s="47" t="s">
        <v>121</v>
      </c>
    </row>
  </sheetData>
  <phoneticPr fontId="17"/>
  <dataValidations count="2">
    <dataValidation type="list" allowBlank="1" showInputMessage="1" showErrorMessage="1" sqref="A2:A7" xr:uid="{F40BB561-35B2-43E3-9746-57BE3F748593}">
      <formula1>アイテム名</formula1>
    </dataValidation>
    <dataValidation type="list" allowBlank="1" showInputMessage="1" showErrorMessage="1" sqref="C2:C7" xr:uid="{0D3C9311-F42B-441D-9F39-C1D918F94A44}">
      <formula1>アイテムタイプ名</formula1>
    </dataValidation>
  </dataValidations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2E4D7D-6CDD-4C99-A28D-5691D9486CDC}">
  <sheetPr codeName="Sheet13"/>
  <dimension ref="A1:N2"/>
  <sheetViews>
    <sheetView workbookViewId="0">
      <selection activeCell="M7" sqref="M7"/>
    </sheetView>
  </sheetViews>
  <sheetFormatPr defaultRowHeight="18.75"/>
  <cols>
    <col min="9" max="9" width="15.125" bestFit="1" customWidth="1"/>
    <col min="10" max="10" width="15.5" bestFit="1" customWidth="1"/>
    <col min="11" max="11" width="11.875" bestFit="1" customWidth="1"/>
    <col min="12" max="13" width="12.25" bestFit="1" customWidth="1"/>
    <col min="14" max="14" width="14.25" bestFit="1" customWidth="1"/>
  </cols>
  <sheetData>
    <row r="1" spans="1:14">
      <c r="A1" s="57" t="s">
        <v>5</v>
      </c>
      <c r="B1" s="57" t="s">
        <v>6</v>
      </c>
      <c r="C1" s="58" t="s">
        <v>71</v>
      </c>
      <c r="D1" s="58" t="s">
        <v>94</v>
      </c>
      <c r="E1" s="59" t="s">
        <v>122</v>
      </c>
      <c r="F1" s="59" t="s">
        <v>94</v>
      </c>
      <c r="G1" s="60" t="s">
        <v>125</v>
      </c>
      <c r="H1" s="60" t="s">
        <v>94</v>
      </c>
      <c r="I1" s="56" t="s">
        <v>126</v>
      </c>
      <c r="J1" s="56" t="s">
        <v>127</v>
      </c>
      <c r="K1" s="115" t="s">
        <v>293</v>
      </c>
      <c r="L1" s="115" t="s">
        <v>294</v>
      </c>
      <c r="M1" s="114" t="s">
        <v>290</v>
      </c>
      <c r="N1" s="114" t="s">
        <v>291</v>
      </c>
    </row>
    <row r="2" spans="1:14">
      <c r="A2" s="21" t="s">
        <v>44</v>
      </c>
      <c r="B2" s="21">
        <f>IF(A2="", "", VLOOKUP(A2, アイテム名_ID, 2, FALSE))</f>
        <v>45000</v>
      </c>
      <c r="C2" s="39" t="s">
        <v>63</v>
      </c>
      <c r="D2" s="55">
        <f>IF(C2="", "", VLOOKUP(C2, アイテム対象名_ID, 2, FALSE))</f>
        <v>1</v>
      </c>
      <c r="E2" s="55" t="s">
        <v>69</v>
      </c>
      <c r="F2" s="55">
        <f>IF(E2="", "", VLOOKUP(E2, アイテム効果範囲名_ID, 2, FALSE))</f>
        <v>0</v>
      </c>
      <c r="G2" s="55" t="s">
        <v>64</v>
      </c>
      <c r="H2" s="55">
        <f>IF(G2="", "", VLOOKUP(G2, アイテム効果量名_ID, 2, FALSE))</f>
        <v>0</v>
      </c>
      <c r="I2" s="55">
        <v>20</v>
      </c>
      <c r="J2" s="61">
        <v>0</v>
      </c>
      <c r="K2" s="103" t="s">
        <v>278</v>
      </c>
      <c r="L2" s="103">
        <f>IF(K2 ="", "", VLOOKUP(K2, サウンド名_ID, 2, FALSE))</f>
        <v>10</v>
      </c>
      <c r="M2" s="103" t="s">
        <v>286</v>
      </c>
      <c r="N2" s="103">
        <f>IF(M2 ="", "", VLOOKUP(M2, エフェクト名_ID, 2, FALSE))</f>
        <v>3</v>
      </c>
    </row>
  </sheetData>
  <phoneticPr fontId="17"/>
  <dataValidations count="6">
    <dataValidation type="list" allowBlank="1" showInputMessage="1" showErrorMessage="1" sqref="G2" xr:uid="{FD04016B-6D9C-4285-88FA-6CA7CD929431}">
      <formula1>アイテム効果量名</formula1>
    </dataValidation>
    <dataValidation type="list" allowBlank="1" showInputMessage="1" showErrorMessage="1" sqref="E2" xr:uid="{F9AACDA8-8F3E-4530-B029-038C2D0075BC}">
      <formula1>アイテム効果範囲名</formula1>
    </dataValidation>
    <dataValidation type="list" allowBlank="1" showInputMessage="1" showErrorMessage="1" sqref="C2" xr:uid="{4D446171-B1BE-440A-9E6E-062B6E35C89A}">
      <formula1>アイテム対象名</formula1>
    </dataValidation>
    <dataValidation type="list" allowBlank="1" showInputMessage="1" showErrorMessage="1" sqref="A2" xr:uid="{C8372E26-2E52-4476-8026-20582CB6459C}">
      <formula1>アイテム名</formula1>
    </dataValidation>
    <dataValidation type="list" allowBlank="1" showInputMessage="1" showErrorMessage="1" sqref="K2" xr:uid="{B5DD79CA-9162-4B5D-AB9E-4E7B0F75E653}">
      <formula1>サウンド名</formula1>
    </dataValidation>
    <dataValidation type="list" allowBlank="1" showInputMessage="1" showErrorMessage="1" sqref="M2" xr:uid="{A7904B17-8FE3-4651-A26C-B4CB5B65F2B3}">
      <formula1>エフェクト名</formula1>
    </dataValidation>
  </dataValidations>
  <pageMargins left="0.7" right="0.7" top="0.75" bottom="0.75" header="0.3" footer="0.3"/>
  <pageSetup paperSize="9" orientation="portrait" horizontalDpi="4294967293" verticalDpi="0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687E62-924B-4F0A-8F0B-70E678460FBE}">
  <sheetPr codeName="Sheet7"/>
  <dimension ref="A1:Q31"/>
  <sheetViews>
    <sheetView zoomScale="115" zoomScaleNormal="115" workbookViewId="0">
      <selection activeCell="E3" sqref="E3"/>
    </sheetView>
  </sheetViews>
  <sheetFormatPr defaultRowHeight="18.75"/>
  <cols>
    <col min="1" max="1" width="14" style="1" customWidth="1"/>
    <col min="2" max="2" width="8.25" style="1" bestFit="1" customWidth="1"/>
    <col min="3" max="3" width="9" style="1" customWidth="1"/>
    <col min="4" max="4" width="8.625" style="1" customWidth="1"/>
    <col min="5" max="5" width="10.125" style="1" bestFit="1" customWidth="1"/>
    <col min="6" max="6" width="9" style="1"/>
    <col min="7" max="7" width="10" style="1" customWidth="1"/>
    <col min="8" max="8" width="9" style="1" customWidth="1"/>
    <col min="9" max="9" width="11" style="1" bestFit="1" customWidth="1"/>
    <col min="10" max="10" width="11.375" style="1" bestFit="1" customWidth="1"/>
    <col min="11" max="11" width="11.25" style="1" bestFit="1" customWidth="1"/>
    <col min="12" max="12" width="12.25" style="1" bestFit="1" customWidth="1"/>
    <col min="13" max="13" width="15.25" style="1" bestFit="1" customWidth="1"/>
    <col min="14" max="14" width="14.25" style="1" bestFit="1" customWidth="1"/>
    <col min="15" max="15" width="9" style="1" customWidth="1"/>
    <col min="16" max="16" width="30.625" style="1" customWidth="1"/>
    <col min="17" max="17" width="20.625" style="1" customWidth="1"/>
    <col min="18" max="16384" width="9" style="1"/>
  </cols>
  <sheetData>
    <row r="1" spans="1:17">
      <c r="A1" s="57" t="s">
        <v>5</v>
      </c>
      <c r="B1" s="57" t="s">
        <v>6</v>
      </c>
      <c r="C1" s="58" t="s">
        <v>71</v>
      </c>
      <c r="D1" s="58" t="s">
        <v>94</v>
      </c>
      <c r="E1" s="59" t="s">
        <v>122</v>
      </c>
      <c r="F1" s="59" t="s">
        <v>94</v>
      </c>
      <c r="G1" s="60" t="s">
        <v>125</v>
      </c>
      <c r="H1" s="60" t="s">
        <v>94</v>
      </c>
      <c r="I1" s="56" t="s">
        <v>128</v>
      </c>
      <c r="J1" s="56" t="s">
        <v>129</v>
      </c>
      <c r="K1" s="115" t="s">
        <v>293</v>
      </c>
      <c r="L1" s="115" t="s">
        <v>294</v>
      </c>
      <c r="M1" s="114" t="s">
        <v>290</v>
      </c>
      <c r="N1" s="114" t="s">
        <v>291</v>
      </c>
      <c r="O1" s="40"/>
      <c r="P1" s="40"/>
    </row>
    <row r="2" spans="1:17">
      <c r="A2" s="21" t="s">
        <v>42</v>
      </c>
      <c r="B2" s="21">
        <f>IF(A2="", "", VLOOKUP(A2, アイテム名_ID, 2, FALSE))</f>
        <v>40000</v>
      </c>
      <c r="C2" s="39" t="s">
        <v>62</v>
      </c>
      <c r="D2" s="55">
        <f>IF(C2="", "", VLOOKUP(C2, アイテム対象名_ID, 2, FALSE))</f>
        <v>0</v>
      </c>
      <c r="E2" s="55" t="s">
        <v>70</v>
      </c>
      <c r="F2" s="55">
        <f>IF(E2="", "", VLOOKUP(E2, アイテム効果範囲名_ID, 2, FALSE))</f>
        <v>1</v>
      </c>
      <c r="G2" s="55" t="s">
        <v>64</v>
      </c>
      <c r="H2" s="55">
        <f>IF(G2="", "", VLOOKUP(G2, アイテム効果量名_ID, 2, FALSE))</f>
        <v>0</v>
      </c>
      <c r="I2" s="55">
        <v>15</v>
      </c>
      <c r="J2" s="61">
        <v>0</v>
      </c>
      <c r="K2" s="103" t="s">
        <v>272</v>
      </c>
      <c r="L2" s="103">
        <f>IF(K2 ="", "", VLOOKUP(K2, サウンド名_ID, 2, FALSE))</f>
        <v>7</v>
      </c>
      <c r="M2" s="103" t="s">
        <v>284</v>
      </c>
      <c r="N2" s="103">
        <f>IF(M2 ="", "", VLOOKUP(M2, エフェクト名_ID, 2, FALSE))</f>
        <v>1</v>
      </c>
      <c r="O2" s="49"/>
      <c r="P2" s="50"/>
      <c r="Q2" s="12"/>
    </row>
    <row r="3" spans="1:17">
      <c r="A3" s="21" t="s">
        <v>43</v>
      </c>
      <c r="B3" s="21">
        <f>IF(A3="", "", VLOOKUP(A3, アイテム名_ID, 2, FALSE))</f>
        <v>40001</v>
      </c>
      <c r="C3" s="39" t="s">
        <v>62</v>
      </c>
      <c r="D3" s="55">
        <f>IF(C3="", "", VLOOKUP(C3, アイテム対象名_ID, 2, FALSE))</f>
        <v>0</v>
      </c>
      <c r="E3" s="55" t="s">
        <v>70</v>
      </c>
      <c r="F3" s="55">
        <f>IF(E3="", "", VLOOKUP(E3, アイテム効果範囲名_ID, 2, FALSE))</f>
        <v>1</v>
      </c>
      <c r="G3" s="55" t="s">
        <v>64</v>
      </c>
      <c r="H3" s="55">
        <f>IF(G3="", "", VLOOKUP(G3, アイテム効果量名_ID, 2, FALSE))</f>
        <v>0</v>
      </c>
      <c r="I3" s="55">
        <v>0</v>
      </c>
      <c r="J3" s="55">
        <v>5</v>
      </c>
      <c r="K3" s="103" t="s">
        <v>272</v>
      </c>
      <c r="L3" s="103">
        <f>IF(K3 ="", "", VLOOKUP(K3, サウンド名_ID, 2, FALSE))</f>
        <v>7</v>
      </c>
      <c r="M3" s="103" t="s">
        <v>285</v>
      </c>
      <c r="N3" s="103">
        <f>IF(M3 ="", "", VLOOKUP(M3, エフェクト名_ID, 2, FALSE))</f>
        <v>2</v>
      </c>
      <c r="O3" s="43"/>
      <c r="P3" s="40"/>
    </row>
    <row r="4" spans="1:17">
      <c r="A4" s="51"/>
      <c r="B4" s="43"/>
      <c r="C4" s="40"/>
      <c r="D4" s="43"/>
      <c r="E4" s="43"/>
      <c r="F4" s="43"/>
      <c r="G4" s="43"/>
      <c r="H4" s="43"/>
      <c r="I4" s="43"/>
      <c r="J4" s="40"/>
      <c r="K4" s="43"/>
      <c r="L4" s="43"/>
      <c r="M4" s="43"/>
      <c r="N4" s="43"/>
      <c r="O4" s="43"/>
      <c r="P4" s="40"/>
    </row>
    <row r="5" spans="1:17">
      <c r="A5" s="51"/>
      <c r="B5" s="43"/>
      <c r="C5" s="40"/>
      <c r="D5" s="43"/>
      <c r="E5" s="43"/>
      <c r="F5" s="43"/>
      <c r="G5" s="43"/>
      <c r="H5" s="43"/>
      <c r="I5" s="43"/>
      <c r="J5" s="40"/>
      <c r="K5" s="43"/>
      <c r="L5" s="43"/>
      <c r="M5" s="43"/>
      <c r="N5" s="43"/>
      <c r="O5" s="43"/>
      <c r="P5" s="40"/>
    </row>
    <row r="6" spans="1:17">
      <c r="A6" s="52"/>
      <c r="B6" s="43"/>
      <c r="C6" s="43"/>
      <c r="D6" s="43"/>
      <c r="E6" s="43"/>
      <c r="F6" s="43"/>
      <c r="G6" s="43"/>
      <c r="H6" s="43"/>
      <c r="I6" s="43"/>
      <c r="J6" s="40"/>
      <c r="K6" s="43"/>
      <c r="L6" s="43"/>
      <c r="M6" s="43"/>
      <c r="N6" s="43"/>
      <c r="O6" s="43"/>
      <c r="P6" s="40"/>
    </row>
    <row r="7" spans="1:17">
      <c r="A7" s="43"/>
      <c r="B7" s="43"/>
      <c r="C7" s="43"/>
      <c r="D7" s="43"/>
      <c r="E7" s="43"/>
      <c r="F7" s="43"/>
      <c r="G7" s="43"/>
      <c r="H7" s="43"/>
      <c r="I7" s="43"/>
      <c r="J7" s="40"/>
      <c r="K7" s="43"/>
      <c r="L7" s="43"/>
      <c r="M7" s="43"/>
      <c r="N7" s="43"/>
      <c r="O7" s="43"/>
      <c r="P7" s="40"/>
    </row>
    <row r="8" spans="1:17">
      <c r="A8" s="43"/>
      <c r="B8" s="43"/>
      <c r="C8" s="43"/>
      <c r="D8" s="43"/>
      <c r="E8" s="43"/>
      <c r="F8" s="43"/>
      <c r="G8" s="43"/>
      <c r="H8" s="43"/>
      <c r="I8" s="43"/>
      <c r="J8" s="40"/>
      <c r="K8" s="43"/>
      <c r="L8" s="43"/>
      <c r="M8" s="43"/>
      <c r="N8" s="43"/>
      <c r="O8" s="43"/>
      <c r="P8" s="40"/>
    </row>
    <row r="9" spans="1:17">
      <c r="A9" s="43"/>
      <c r="B9" s="43"/>
      <c r="C9" s="43"/>
      <c r="D9" s="43"/>
      <c r="E9" s="43"/>
      <c r="F9" s="43"/>
      <c r="G9" s="43"/>
      <c r="H9" s="43"/>
      <c r="I9" s="43"/>
      <c r="J9" s="40"/>
      <c r="K9" s="43"/>
      <c r="L9" s="43"/>
      <c r="M9" s="43"/>
      <c r="N9" s="43"/>
      <c r="O9" s="43"/>
      <c r="P9" s="40"/>
    </row>
    <row r="10" spans="1:17">
      <c r="A10" s="43"/>
      <c r="B10" s="43"/>
      <c r="C10" s="43"/>
      <c r="D10" s="43"/>
      <c r="E10" s="43"/>
      <c r="F10" s="43"/>
      <c r="G10" s="43"/>
      <c r="H10" s="43"/>
      <c r="I10" s="43"/>
      <c r="J10" s="40"/>
      <c r="K10" s="43"/>
      <c r="L10" s="43"/>
      <c r="M10" s="43"/>
      <c r="N10" s="43"/>
      <c r="O10" s="43"/>
      <c r="P10" s="40"/>
    </row>
    <row r="11" spans="1:17">
      <c r="A11" s="43"/>
      <c r="B11" s="43"/>
      <c r="C11" s="43"/>
      <c r="D11" s="43"/>
      <c r="E11" s="43"/>
      <c r="F11" s="43"/>
      <c r="G11" s="43"/>
      <c r="H11" s="43"/>
      <c r="I11" s="43"/>
      <c r="J11" s="40"/>
      <c r="K11" s="43"/>
      <c r="L11" s="43"/>
      <c r="M11" s="43"/>
      <c r="N11" s="43"/>
      <c r="O11" s="43"/>
      <c r="P11" s="40"/>
    </row>
    <row r="12" spans="1:17">
      <c r="A12" s="43"/>
      <c r="B12" s="43"/>
      <c r="C12" s="43"/>
      <c r="D12" s="43"/>
      <c r="E12" s="43"/>
      <c r="F12" s="43"/>
      <c r="G12" s="43"/>
      <c r="H12" s="43"/>
      <c r="I12" s="43"/>
      <c r="J12" s="40"/>
      <c r="K12" s="43"/>
      <c r="L12" s="43"/>
      <c r="M12" s="43"/>
      <c r="N12" s="43"/>
      <c r="O12" s="43"/>
      <c r="P12" s="40"/>
    </row>
    <row r="13" spans="1:17">
      <c r="A13" s="43"/>
      <c r="B13" s="43"/>
      <c r="C13" s="43"/>
      <c r="D13" s="43"/>
      <c r="E13" s="43"/>
      <c r="F13" s="43"/>
      <c r="G13" s="43"/>
      <c r="H13" s="43"/>
      <c r="I13" s="43"/>
      <c r="J13" s="40"/>
      <c r="K13" s="43"/>
      <c r="L13" s="43"/>
      <c r="M13" s="43"/>
      <c r="N13" s="43"/>
      <c r="O13" s="43"/>
      <c r="P13" s="40"/>
    </row>
    <row r="14" spans="1:17">
      <c r="A14" s="43"/>
      <c r="B14" s="43"/>
      <c r="C14" s="43"/>
      <c r="D14" s="43"/>
      <c r="E14" s="43"/>
      <c r="F14" s="43"/>
      <c r="G14" s="43"/>
      <c r="H14" s="43"/>
      <c r="I14" s="43"/>
      <c r="J14" s="40"/>
      <c r="K14" s="43"/>
      <c r="L14" s="43"/>
      <c r="M14" s="43"/>
      <c r="N14" s="43"/>
      <c r="O14" s="43"/>
      <c r="P14" s="40"/>
    </row>
    <row r="15" spans="1:17">
      <c r="A15" s="43"/>
      <c r="B15" s="43"/>
      <c r="C15" s="43"/>
      <c r="D15" s="43"/>
      <c r="E15" s="43"/>
      <c r="F15" s="43"/>
      <c r="G15" s="43"/>
      <c r="H15" s="43"/>
      <c r="I15" s="43"/>
      <c r="J15" s="40"/>
      <c r="K15" s="43"/>
      <c r="L15" s="43"/>
      <c r="M15" s="43"/>
      <c r="N15" s="43"/>
      <c r="O15" s="43"/>
      <c r="P15" s="40"/>
    </row>
    <row r="16" spans="1:17">
      <c r="A16" s="43"/>
      <c r="B16" s="43"/>
      <c r="C16" s="43"/>
      <c r="D16" s="43"/>
      <c r="E16" s="43"/>
      <c r="F16" s="43"/>
      <c r="G16" s="43"/>
      <c r="H16" s="43"/>
      <c r="I16" s="43"/>
      <c r="J16" s="40"/>
      <c r="K16" s="43"/>
      <c r="L16" s="43"/>
      <c r="M16" s="43"/>
      <c r="N16" s="43"/>
      <c r="O16" s="43"/>
      <c r="P16" s="40"/>
    </row>
    <row r="17" spans="1:16">
      <c r="A17" s="43"/>
      <c r="B17" s="43"/>
      <c r="C17" s="43"/>
      <c r="D17" s="43"/>
      <c r="E17" s="43"/>
      <c r="F17" s="43"/>
      <c r="G17" s="43"/>
      <c r="H17" s="43"/>
      <c r="I17" s="43"/>
      <c r="J17" s="40"/>
      <c r="K17" s="43"/>
      <c r="L17" s="43"/>
      <c r="M17" s="43"/>
      <c r="N17" s="43"/>
      <c r="O17" s="43"/>
      <c r="P17" s="40"/>
    </row>
    <row r="18" spans="1:16">
      <c r="A18" s="43"/>
      <c r="B18" s="43"/>
      <c r="C18" s="43"/>
      <c r="D18" s="43"/>
      <c r="E18" s="43"/>
      <c r="F18" s="43"/>
      <c r="G18" s="43"/>
      <c r="H18" s="43"/>
      <c r="I18" s="43"/>
      <c r="J18" s="40"/>
      <c r="K18" s="43"/>
      <c r="L18" s="43"/>
      <c r="M18" s="43"/>
      <c r="N18" s="43"/>
      <c r="O18" s="43"/>
      <c r="P18" s="40"/>
    </row>
    <row r="19" spans="1:16">
      <c r="A19" s="43"/>
      <c r="B19" s="43"/>
      <c r="C19" s="43"/>
      <c r="D19" s="43"/>
      <c r="E19" s="43"/>
      <c r="F19" s="43"/>
      <c r="G19" s="43"/>
      <c r="H19" s="43"/>
      <c r="I19" s="43"/>
      <c r="J19" s="40"/>
      <c r="K19" s="43"/>
      <c r="L19" s="43"/>
      <c r="M19" s="43"/>
      <c r="N19" s="43"/>
      <c r="O19" s="43"/>
      <c r="P19" s="40"/>
    </row>
    <row r="20" spans="1:16">
      <c r="A20" s="43"/>
      <c r="B20" s="43"/>
      <c r="C20" s="43"/>
      <c r="D20" s="43"/>
      <c r="E20" s="43"/>
      <c r="F20" s="43"/>
      <c r="G20" s="43"/>
      <c r="H20" s="43"/>
      <c r="I20" s="43"/>
      <c r="J20" s="40"/>
      <c r="K20" s="43"/>
      <c r="L20" s="43"/>
      <c r="M20" s="43"/>
      <c r="N20" s="43"/>
      <c r="O20" s="43"/>
      <c r="P20" s="40"/>
    </row>
    <row r="21" spans="1:16">
      <c r="A21" s="43"/>
      <c r="B21" s="43"/>
      <c r="C21" s="43"/>
      <c r="D21" s="43"/>
      <c r="E21" s="43"/>
      <c r="F21" s="43"/>
      <c r="G21" s="43"/>
      <c r="H21" s="43"/>
      <c r="I21" s="43"/>
      <c r="J21" s="40"/>
      <c r="K21" s="43"/>
      <c r="L21" s="43"/>
      <c r="M21" s="43"/>
      <c r="N21" s="43"/>
      <c r="O21" s="43"/>
      <c r="P21" s="40"/>
    </row>
    <row r="22" spans="1:16">
      <c r="A22" s="43"/>
      <c r="B22" s="43"/>
      <c r="C22" s="43"/>
      <c r="D22" s="43"/>
      <c r="E22" s="43"/>
      <c r="F22" s="43"/>
      <c r="G22" s="43"/>
      <c r="H22" s="43"/>
      <c r="I22" s="43"/>
      <c r="J22" s="40"/>
      <c r="K22" s="43"/>
      <c r="L22" s="43"/>
      <c r="M22" s="43"/>
      <c r="N22" s="43"/>
      <c r="O22" s="43"/>
      <c r="P22" s="40"/>
    </row>
    <row r="23" spans="1:16">
      <c r="A23" s="43"/>
      <c r="B23" s="43"/>
      <c r="C23" s="43"/>
      <c r="D23" s="43"/>
      <c r="E23" s="43"/>
      <c r="F23" s="43"/>
      <c r="G23" s="43"/>
      <c r="H23" s="43"/>
      <c r="I23" s="43"/>
      <c r="J23" s="40"/>
      <c r="K23" s="43"/>
      <c r="L23" s="43"/>
      <c r="M23" s="43"/>
      <c r="N23" s="43"/>
      <c r="O23" s="43"/>
      <c r="P23" s="40"/>
    </row>
    <row r="24" spans="1:16">
      <c r="A24" s="43"/>
      <c r="B24" s="43"/>
      <c r="C24" s="43"/>
      <c r="D24" s="43"/>
      <c r="E24" s="43"/>
      <c r="F24" s="43"/>
      <c r="G24" s="43"/>
      <c r="H24" s="43"/>
      <c r="I24" s="43"/>
      <c r="J24" s="40"/>
      <c r="K24" s="43"/>
      <c r="L24" s="43"/>
      <c r="M24" s="43"/>
      <c r="N24" s="43"/>
      <c r="O24" s="43"/>
      <c r="P24" s="40"/>
    </row>
    <row r="25" spans="1:16">
      <c r="A25" s="43"/>
      <c r="B25" s="43"/>
      <c r="C25" s="43"/>
      <c r="D25" s="43"/>
      <c r="E25" s="43"/>
      <c r="F25" s="43"/>
      <c r="G25" s="43"/>
      <c r="H25" s="43"/>
      <c r="I25" s="43"/>
      <c r="J25" s="40"/>
      <c r="K25" s="43"/>
      <c r="L25" s="43"/>
      <c r="M25" s="43"/>
      <c r="N25" s="43"/>
      <c r="O25" s="43"/>
      <c r="P25" s="40"/>
    </row>
    <row r="26" spans="1:16">
      <c r="A26" s="43"/>
      <c r="B26" s="43"/>
      <c r="C26" s="43"/>
      <c r="D26" s="43"/>
      <c r="E26" s="43"/>
      <c r="F26" s="43"/>
      <c r="G26" s="43"/>
      <c r="H26" s="43"/>
      <c r="I26" s="43"/>
      <c r="J26" s="40"/>
      <c r="K26" s="43"/>
      <c r="L26" s="43"/>
      <c r="M26" s="43"/>
      <c r="N26" s="43"/>
      <c r="O26" s="43"/>
      <c r="P26" s="40"/>
    </row>
    <row r="27" spans="1:16">
      <c r="A27" s="43"/>
      <c r="B27" s="43"/>
      <c r="C27" s="43"/>
      <c r="D27" s="43"/>
      <c r="E27" s="43"/>
      <c r="F27" s="43"/>
      <c r="G27" s="43"/>
      <c r="H27" s="43"/>
      <c r="I27" s="43"/>
      <c r="J27" s="40"/>
      <c r="K27" s="43"/>
      <c r="L27" s="43"/>
      <c r="M27" s="43"/>
      <c r="N27" s="43"/>
      <c r="O27" s="43"/>
      <c r="P27" s="40"/>
    </row>
    <row r="28" spans="1:16">
      <c r="A28" s="43"/>
      <c r="B28" s="43"/>
      <c r="C28" s="43"/>
      <c r="D28" s="43"/>
      <c r="E28" s="43"/>
      <c r="F28" s="43"/>
      <c r="G28" s="43"/>
      <c r="H28" s="43"/>
      <c r="I28" s="43"/>
      <c r="J28" s="40"/>
      <c r="K28" s="43"/>
      <c r="L28" s="43"/>
      <c r="M28" s="43"/>
      <c r="N28" s="43"/>
      <c r="O28" s="43"/>
      <c r="P28" s="40"/>
    </row>
    <row r="29" spans="1:16">
      <c r="A29" s="43"/>
      <c r="B29" s="43"/>
      <c r="C29" s="43"/>
      <c r="D29" s="43"/>
      <c r="E29" s="43"/>
      <c r="F29" s="43"/>
      <c r="G29" s="43"/>
      <c r="H29" s="43"/>
      <c r="I29" s="43"/>
      <c r="J29" s="40"/>
      <c r="K29" s="43"/>
      <c r="L29" s="43"/>
      <c r="M29" s="43"/>
      <c r="N29" s="43"/>
      <c r="O29" s="43"/>
      <c r="P29" s="40"/>
    </row>
    <row r="30" spans="1:16">
      <c r="A30" s="43"/>
      <c r="B30" s="43"/>
      <c r="C30" s="43"/>
      <c r="D30" s="43"/>
      <c r="E30" s="43"/>
      <c r="F30" s="43"/>
      <c r="G30" s="43"/>
      <c r="H30" s="43"/>
      <c r="I30" s="43"/>
      <c r="J30" s="40"/>
      <c r="K30" s="43"/>
      <c r="L30" s="43"/>
      <c r="M30" s="43"/>
      <c r="N30" s="43"/>
      <c r="O30" s="43"/>
      <c r="P30" s="40"/>
    </row>
    <row r="31" spans="1:16">
      <c r="A31" s="43"/>
      <c r="B31" s="43"/>
      <c r="C31" s="43"/>
      <c r="D31" s="43"/>
      <c r="E31" s="43"/>
      <c r="F31" s="43"/>
      <c r="G31" s="43"/>
      <c r="H31" s="43"/>
      <c r="I31" s="43"/>
      <c r="J31" s="40"/>
      <c r="K31" s="43"/>
      <c r="L31" s="43"/>
      <c r="M31" s="43"/>
      <c r="N31" s="43"/>
      <c r="O31" s="43"/>
      <c r="P31" s="40"/>
    </row>
  </sheetData>
  <dataConsolidate/>
  <phoneticPr fontId="17"/>
  <dataValidations count="6">
    <dataValidation type="list" allowBlank="1" showInputMessage="1" showErrorMessage="1" sqref="A2:A3" xr:uid="{4CA942EC-DF21-4BE0-8654-43FBBBB3F4A3}">
      <formula1>アイテム名</formula1>
    </dataValidation>
    <dataValidation type="list" allowBlank="1" showInputMessage="1" showErrorMessage="1" sqref="C2:C3" xr:uid="{A20FAFFA-BFC5-4A69-A3CF-092A8AB6B75F}">
      <formula1>アイテム対象名</formula1>
    </dataValidation>
    <dataValidation type="list" allowBlank="1" showInputMessage="1" showErrorMessage="1" sqref="E2:E3" xr:uid="{FF454278-2997-40DF-96EA-F84FF70CA9E6}">
      <formula1>アイテム効果範囲名</formula1>
    </dataValidation>
    <dataValidation type="list" allowBlank="1" showInputMessage="1" showErrorMessage="1" sqref="G2:G3" xr:uid="{077A7231-5747-4F3B-9850-66C5622FDD4E}">
      <formula1>アイテム効果量名</formula1>
    </dataValidation>
    <dataValidation type="list" allowBlank="1" showInputMessage="1" showErrorMessage="1" sqref="M2:M3" xr:uid="{713892EF-4B9A-4D96-AB6F-ADEB94C93F88}">
      <formula1>エフェクト名</formula1>
    </dataValidation>
    <dataValidation type="list" allowBlank="1" showInputMessage="1" showErrorMessage="1" sqref="K2:K3" xr:uid="{00E34274-4BD4-498E-A5EB-7C6F04B903A7}">
      <formula1>サウンド名</formula1>
    </dataValidation>
  </dataValidations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B10E20-9C2A-4187-994E-7645D852FBEF}">
  <sheetPr codeName="Sheet14"/>
  <dimension ref="A1:I3"/>
  <sheetViews>
    <sheetView workbookViewId="0">
      <selection activeCell="D2" sqref="D2"/>
    </sheetView>
  </sheetViews>
  <sheetFormatPr defaultRowHeight="18.75"/>
  <cols>
    <col min="1" max="1" width="13" bestFit="1" customWidth="1"/>
    <col min="2" max="2" width="14.25" bestFit="1" customWidth="1"/>
    <col min="3" max="3" width="10.125" bestFit="1" customWidth="1"/>
    <col min="4" max="4" width="12.25" bestFit="1" customWidth="1"/>
    <col min="5" max="7" width="8.25" bestFit="1" customWidth="1"/>
    <col min="8" max="9" width="13.625" bestFit="1" customWidth="1"/>
  </cols>
  <sheetData>
    <row r="1" spans="1:9">
      <c r="A1" s="76" t="s">
        <v>25</v>
      </c>
      <c r="B1" s="76" t="s">
        <v>41</v>
      </c>
      <c r="C1" s="15" t="s">
        <v>39</v>
      </c>
      <c r="D1" s="15" t="s">
        <v>38</v>
      </c>
      <c r="E1" s="11" t="s">
        <v>37</v>
      </c>
      <c r="F1" s="11" t="s">
        <v>36</v>
      </c>
      <c r="G1" s="11" t="s">
        <v>35</v>
      </c>
      <c r="H1" s="64" t="s">
        <v>136</v>
      </c>
      <c r="I1" s="64" t="s">
        <v>137</v>
      </c>
    </row>
    <row r="2" spans="1:9">
      <c r="A2" s="17" t="s">
        <v>107</v>
      </c>
      <c r="B2" s="17">
        <f>IF(A2="", "", VLOOKUP(A2, アイテム名_ID, 2, FALSE))</f>
        <v>60000</v>
      </c>
      <c r="C2" s="13" t="s">
        <v>131</v>
      </c>
      <c r="D2" s="62">
        <f>IF(C2="", "", VLOOKUP(C2, 装備品種類名_ID, 2, FALSE))</f>
        <v>0</v>
      </c>
      <c r="E2" s="62">
        <v>7</v>
      </c>
      <c r="F2" s="62">
        <v>0</v>
      </c>
      <c r="G2" s="62">
        <v>0</v>
      </c>
      <c r="H2" s="14" t="s">
        <v>33</v>
      </c>
      <c r="I2" s="14" t="s">
        <v>30</v>
      </c>
    </row>
    <row r="3" spans="1:9">
      <c r="A3" s="17" t="s">
        <v>108</v>
      </c>
      <c r="B3" s="17">
        <f>IF(A3="", "", VLOOKUP(A3, アイテム名_ID, 2, FALSE))</f>
        <v>60001</v>
      </c>
      <c r="C3" s="13" t="s">
        <v>31</v>
      </c>
      <c r="D3" s="62">
        <f>IF(C3="", "", VLOOKUP(C3, 装備品種類名_ID, 2, FALSE))</f>
        <v>1</v>
      </c>
      <c r="E3" s="62">
        <v>0</v>
      </c>
      <c r="F3" s="62">
        <v>7</v>
      </c>
      <c r="G3" s="62">
        <v>0</v>
      </c>
      <c r="H3" s="14" t="s">
        <v>30</v>
      </c>
      <c r="I3" s="14" t="s">
        <v>30</v>
      </c>
    </row>
  </sheetData>
  <phoneticPr fontId="17"/>
  <dataValidations count="3">
    <dataValidation type="list" allowBlank="1" showInputMessage="1" showErrorMessage="1" sqref="A2:A3" xr:uid="{D409C6E0-B96B-4AD2-ACCC-622E59110D48}">
      <formula1>アイテム名</formula1>
    </dataValidation>
    <dataValidation type="list" allowBlank="1" showInputMessage="1" showErrorMessage="1" sqref="C2:C3" xr:uid="{2A8AA4EB-BD70-4CCA-9E33-20979DA67319}">
      <formula1>装備品種類名</formula1>
    </dataValidation>
    <dataValidation type="list" allowBlank="1" showInputMessage="1" showErrorMessage="1" sqref="H2:I3" xr:uid="{AF33D21F-17AA-4B12-93F7-7AB378726978}">
      <formula1>装備可能名</formula1>
    </dataValidation>
  </dataValidations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A94E9E-7D12-43CD-8DB6-3ED21157D62C}">
  <sheetPr codeName="Sheet24"/>
  <dimension ref="A1:P4"/>
  <sheetViews>
    <sheetView workbookViewId="0">
      <selection activeCell="D10" sqref="D10"/>
    </sheetView>
  </sheetViews>
  <sheetFormatPr defaultRowHeight="18.75"/>
  <cols>
    <col min="1" max="1" width="17.25" bestFit="1" customWidth="1"/>
    <col min="2" max="2" width="7.5" customWidth="1"/>
    <col min="3" max="3" width="9.375" bestFit="1" customWidth="1"/>
    <col min="4" max="4" width="8.25" bestFit="1" customWidth="1"/>
    <col min="5" max="5" width="10.125" bestFit="1" customWidth="1"/>
    <col min="6" max="6" width="6.375" bestFit="1" customWidth="1"/>
    <col min="7" max="8" width="8.25" bestFit="1" customWidth="1"/>
    <col min="9" max="9" width="10.125" bestFit="1" customWidth="1"/>
    <col min="10" max="11" width="8.25" bestFit="1" customWidth="1"/>
    <col min="12" max="12" width="18.75" bestFit="1" customWidth="1"/>
    <col min="13" max="13" width="14.25" bestFit="1" customWidth="1"/>
    <col min="14" max="14" width="19" bestFit="1" customWidth="1"/>
    <col min="15" max="15" width="10.125" bestFit="1" customWidth="1"/>
    <col min="16" max="16" width="50" customWidth="1"/>
  </cols>
  <sheetData>
    <row r="1" spans="1:16">
      <c r="A1" s="36" t="s">
        <v>5</v>
      </c>
      <c r="B1" s="36" t="s">
        <v>139</v>
      </c>
      <c r="C1" s="113" t="s">
        <v>68</v>
      </c>
      <c r="D1" s="37" t="s">
        <v>103</v>
      </c>
      <c r="E1" s="37" t="s">
        <v>104</v>
      </c>
      <c r="F1" s="108" t="s">
        <v>229</v>
      </c>
      <c r="G1" s="108" t="s">
        <v>72</v>
      </c>
      <c r="H1" s="109" t="s">
        <v>73</v>
      </c>
      <c r="I1" s="109" t="s">
        <v>74</v>
      </c>
      <c r="J1" s="38" t="s">
        <v>65</v>
      </c>
      <c r="K1" s="38" t="s">
        <v>230</v>
      </c>
      <c r="L1" s="111" t="s">
        <v>290</v>
      </c>
      <c r="M1" s="111" t="s">
        <v>291</v>
      </c>
      <c r="N1" s="112" t="s">
        <v>292</v>
      </c>
      <c r="O1" s="112" t="s">
        <v>263</v>
      </c>
      <c r="P1" s="48" t="s">
        <v>115</v>
      </c>
    </row>
    <row r="2" spans="1:16">
      <c r="A2" s="103" t="s">
        <v>67</v>
      </c>
      <c r="B2" s="103">
        <v>0</v>
      </c>
      <c r="C2" s="103">
        <v>3</v>
      </c>
      <c r="D2" s="103" t="s">
        <v>59</v>
      </c>
      <c r="E2" s="103">
        <f>IF(D2="", "", VLOOKUP(D2, スキルタイプ名_ID, 2, FALSE))</f>
        <v>0</v>
      </c>
      <c r="F2" s="103" t="s">
        <v>62</v>
      </c>
      <c r="G2" s="103">
        <f>IF(F2="", "", VLOOKUP(F2, スキル対象名_ID, 2, FALSE))</f>
        <v>1</v>
      </c>
      <c r="H2" s="103" t="s">
        <v>70</v>
      </c>
      <c r="I2" s="103">
        <f>IF(H2="", "", VLOOKUP(H2, スキル対象数名_ID, 2, FALSE))</f>
        <v>1</v>
      </c>
      <c r="J2" s="103" t="s">
        <v>65</v>
      </c>
      <c r="K2" s="103">
        <f>IF(J2="", "", VLOOKUP(J2,スキル効果割合名_ID, 2, FALSE))</f>
        <v>1</v>
      </c>
      <c r="L2" s="103" t="s">
        <v>287</v>
      </c>
      <c r="M2" s="103">
        <f>IF(L2="", "", VLOOKUP(L2, エフェクト名_ID, 2, FALSE))</f>
        <v>4</v>
      </c>
      <c r="N2" s="103" t="s">
        <v>274</v>
      </c>
      <c r="O2" s="103">
        <f>IF(N2="", "", VLOOKUP(N2, サウンド名_ID, 2, FALSE))</f>
        <v>8</v>
      </c>
      <c r="P2" s="103" t="s">
        <v>232</v>
      </c>
    </row>
    <row r="3" spans="1:16">
      <c r="A3" s="103" t="s">
        <v>231</v>
      </c>
      <c r="B3" s="103">
        <f>IF(A3 = "", "", B2 + 1)</f>
        <v>1</v>
      </c>
      <c r="C3" s="103">
        <v>3</v>
      </c>
      <c r="D3" s="103" t="s">
        <v>101</v>
      </c>
      <c r="E3" s="103">
        <f>IF(D3="", "", VLOOKUP(D3, スキルタイプ名_ID, 2, FALSE))</f>
        <v>1</v>
      </c>
      <c r="F3" s="103" t="s">
        <v>63</v>
      </c>
      <c r="G3" s="103">
        <f>IF(F3="", "", VLOOKUP(F3, スキル対象名_ID, 2, FALSE))</f>
        <v>2</v>
      </c>
      <c r="H3" s="103" t="s">
        <v>70</v>
      </c>
      <c r="I3" s="103">
        <f>IF(H3="", "", VLOOKUP(H3, スキル対象数名_ID, 2, FALSE))</f>
        <v>1</v>
      </c>
      <c r="J3" s="103" t="s">
        <v>65</v>
      </c>
      <c r="K3" s="103">
        <f>IF(J3="", "", VLOOKUP(J3,スキル効果割合名_ID, 2, FALSE))</f>
        <v>1</v>
      </c>
      <c r="L3" s="103" t="s">
        <v>288</v>
      </c>
      <c r="M3" s="103">
        <f>IF(L3="", "", VLOOKUP(L3, エフェクト名_ID, 2, FALSE))</f>
        <v>5</v>
      </c>
      <c r="N3" s="103" t="s">
        <v>276</v>
      </c>
      <c r="O3" s="103">
        <f>IF(N3="", "", VLOOKUP(N3, サウンド名_ID, 2, FALSE))</f>
        <v>9</v>
      </c>
      <c r="P3" s="103" t="s">
        <v>233</v>
      </c>
    </row>
    <row r="4" spans="1:16">
      <c r="A4" s="103" t="s">
        <v>303</v>
      </c>
      <c r="B4" s="103">
        <f>IF(A4 = "", "", B3 + 1)</f>
        <v>2</v>
      </c>
      <c r="C4" s="103">
        <v>5</v>
      </c>
      <c r="D4" s="103" t="s">
        <v>295</v>
      </c>
      <c r="E4" s="103">
        <f>IF(D4="", "", VLOOKUP(D4, スキルタイプ名_ID, 2, FALSE))</f>
        <v>2</v>
      </c>
      <c r="F4" s="103" t="s">
        <v>63</v>
      </c>
      <c r="G4" s="103">
        <f>IF(F4="", "", VLOOKUP(F4, スキル対象名_ID, 2, FALSE))</f>
        <v>2</v>
      </c>
      <c r="H4" s="103" t="s">
        <v>69</v>
      </c>
      <c r="I4" s="103">
        <f>IF(H4="", "", VLOOKUP(H4, スキル対象数名_ID, 2, FALSE))</f>
        <v>0</v>
      </c>
      <c r="J4" s="103" t="s">
        <v>65</v>
      </c>
      <c r="K4" s="103">
        <f>IF(J4="", "", VLOOKUP(J4,スキル効果割合名_ID, 2, FALSE))</f>
        <v>1</v>
      </c>
      <c r="L4" s="103" t="s">
        <v>304</v>
      </c>
      <c r="M4" s="103">
        <f>IF(L4="", "", VLOOKUP(L4, エフェクト名_ID, 2, FALSE))</f>
        <v>8</v>
      </c>
      <c r="N4" s="103" t="s">
        <v>308</v>
      </c>
      <c r="O4" s="103">
        <f>IF(N4="", "", VLOOKUP(N4, サウンド名_ID, 2, FALSE))</f>
        <v>14</v>
      </c>
      <c r="P4" s="103" t="s">
        <v>310</v>
      </c>
    </row>
  </sheetData>
  <phoneticPr fontId="17"/>
  <dataValidations count="6">
    <dataValidation type="list" allowBlank="1" showInputMessage="1" showErrorMessage="1" sqref="D2:D4" xr:uid="{0518EE17-56FB-490E-BD2D-E16E61B733C0}">
      <formula1>スキルタイプ名</formula1>
    </dataValidation>
    <dataValidation type="list" allowBlank="1" showInputMessage="1" showErrorMessage="1" sqref="F2:F4" xr:uid="{ED5B7BE8-D154-4FBD-B74C-74358722B6E4}">
      <formula1>スキル対象名</formula1>
    </dataValidation>
    <dataValidation type="list" allowBlank="1" showInputMessage="1" showErrorMessage="1" sqref="H2:H4" xr:uid="{EC162993-4552-453C-B9E6-DD7B5E5E1E32}">
      <formula1>スキル対象数名</formula1>
    </dataValidation>
    <dataValidation type="list" allowBlank="1" showInputMessage="1" showErrorMessage="1" sqref="J2:J4" xr:uid="{AA2B2760-26E3-435B-8071-790C21EB0FC4}">
      <formula1>スキル効果割合名</formula1>
    </dataValidation>
    <dataValidation type="list" allowBlank="1" showInputMessage="1" showErrorMessage="1" sqref="L2:L4" xr:uid="{7B33A3C2-6CBA-47F2-82C9-4CD4E380163E}">
      <formula1>エフェクト名</formula1>
    </dataValidation>
    <dataValidation type="list" allowBlank="1" showInputMessage="1" showErrorMessage="1" sqref="N2:N4" xr:uid="{7944B9FC-C4A2-44F9-A945-C9DB8EB321B0}">
      <formula1>サウンド名</formula1>
    </dataValidation>
  </dataValidations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730D94-F31C-48EC-B43B-FD8BB6D2377D}">
  <sheetPr codeName="Sheet25"/>
  <dimension ref="A1:D2"/>
  <sheetViews>
    <sheetView workbookViewId="0">
      <selection activeCell="C3" sqref="C3"/>
    </sheetView>
  </sheetViews>
  <sheetFormatPr defaultRowHeight="18.75"/>
  <cols>
    <col min="1" max="1" width="17.25" bestFit="1" customWidth="1"/>
    <col min="2" max="2" width="10.125" bestFit="1" customWidth="1"/>
    <col min="3" max="3" width="18" bestFit="1" customWidth="1"/>
    <col min="4" max="4" width="10.125" bestFit="1" customWidth="1"/>
    <col min="5" max="5" width="20.5" bestFit="1" customWidth="1"/>
  </cols>
  <sheetData>
    <row r="1" spans="1:4">
      <c r="A1" s="25" t="s">
        <v>52</v>
      </c>
      <c r="B1" s="25" t="s">
        <v>53</v>
      </c>
      <c r="C1" s="26" t="s">
        <v>300</v>
      </c>
      <c r="D1" s="27" t="s">
        <v>301</v>
      </c>
    </row>
    <row r="2" spans="1:4">
      <c r="A2" s="103" t="s">
        <v>302</v>
      </c>
      <c r="B2" s="103">
        <f>IF(A2="", "", VLOOKUP(A2, スキル名_ID, 2, FALSE))</f>
        <v>2</v>
      </c>
      <c r="C2" s="103">
        <v>2</v>
      </c>
      <c r="D2" s="103">
        <v>1</v>
      </c>
    </row>
  </sheetData>
  <phoneticPr fontId="17"/>
  <dataValidations count="1">
    <dataValidation type="list" allowBlank="1" showInputMessage="1" showErrorMessage="1" sqref="A2" xr:uid="{6C9409ED-5E9B-4D5B-BE16-390C0D6AB4F2}">
      <formula1>スキル名</formula1>
    </dataValidation>
  </dataValidations>
  <pageMargins left="0.7" right="0.7" top="0.75" bottom="0.75" header="0.3" footer="0.3"/>
  <pageSetup paperSize="9" orientation="portrait" horizontalDpi="4294967293" verticalDpi="0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29AA2F-5FBC-4A95-985E-AFF1E95BB517}">
  <sheetPr codeName="Sheet26"/>
  <dimension ref="A1:E3"/>
  <sheetViews>
    <sheetView workbookViewId="0">
      <selection sqref="A1:E3"/>
    </sheetView>
  </sheetViews>
  <sheetFormatPr defaultRowHeight="18.75"/>
  <cols>
    <col min="1" max="1" width="13" bestFit="1" customWidth="1"/>
    <col min="3" max="3" width="10.125" bestFit="1" customWidth="1"/>
    <col min="4" max="5" width="12.25" bestFit="1" customWidth="1"/>
    <col min="17" max="17" width="32.875" bestFit="1" customWidth="1"/>
  </cols>
  <sheetData>
    <row r="1" spans="1:5">
      <c r="A1" s="25" t="s">
        <v>52</v>
      </c>
      <c r="B1" s="25" t="s">
        <v>53</v>
      </c>
      <c r="C1" s="26" t="s">
        <v>296</v>
      </c>
      <c r="D1" s="27" t="s">
        <v>75</v>
      </c>
      <c r="E1" s="27" t="s">
        <v>76</v>
      </c>
    </row>
    <row r="2" spans="1:5">
      <c r="A2" s="21" t="s">
        <v>67</v>
      </c>
      <c r="B2" s="21">
        <f>IF(A2="", "", VLOOKUP(A2, スキル名_ID, 2, FALSE))</f>
        <v>0</v>
      </c>
      <c r="C2" s="21">
        <v>3</v>
      </c>
      <c r="D2" s="21">
        <v>1.5</v>
      </c>
      <c r="E2" s="21">
        <v>0</v>
      </c>
    </row>
    <row r="3" spans="1:5">
      <c r="A3" s="103" t="s">
        <v>231</v>
      </c>
      <c r="B3" s="103">
        <f>IF(A3="", "", VLOOKUP(A3, スキル名_ID, 2, FALSE))</f>
        <v>1</v>
      </c>
      <c r="C3" s="21">
        <v>3</v>
      </c>
      <c r="D3" s="21">
        <v>0</v>
      </c>
      <c r="E3" s="21">
        <v>0.7</v>
      </c>
    </row>
  </sheetData>
  <phoneticPr fontId="17"/>
  <dataValidations count="1">
    <dataValidation type="list" allowBlank="1" showInputMessage="1" showErrorMessage="1" sqref="A2:A3" xr:uid="{A74DF15A-8BE7-4F53-9814-4C9899626C71}">
      <formula1>スキル名</formula1>
    </dataValidation>
  </dataValidations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795E7D-7FE4-4CEE-A1C3-5224D3BE3F7E}">
  <sheetPr codeName="Sheet27"/>
  <dimension ref="A1:E13"/>
  <sheetViews>
    <sheetView workbookViewId="0">
      <selection activeCell="C9" sqref="C9"/>
    </sheetView>
  </sheetViews>
  <sheetFormatPr defaultRowHeight="18.75"/>
  <cols>
    <col min="1" max="1" width="22.25" bestFit="1" customWidth="1"/>
    <col min="2" max="2" width="9" customWidth="1"/>
    <col min="3" max="3" width="16.25" bestFit="1" customWidth="1"/>
    <col min="4" max="4" width="14.75" bestFit="1" customWidth="1"/>
    <col min="5" max="5" width="15.5" bestFit="1" customWidth="1"/>
    <col min="6" max="6" width="19" bestFit="1" customWidth="1"/>
    <col min="7" max="7" width="10.125" bestFit="1" customWidth="1"/>
  </cols>
  <sheetData>
    <row r="1" spans="1:5">
      <c r="A1" s="92" t="s">
        <v>93</v>
      </c>
      <c r="B1" s="92" t="s">
        <v>94</v>
      </c>
      <c r="C1" s="93" t="s">
        <v>234</v>
      </c>
      <c r="D1" s="110" t="s">
        <v>235</v>
      </c>
      <c r="E1" s="106" t="s">
        <v>236</v>
      </c>
    </row>
    <row r="2" spans="1:5">
      <c r="A2" s="103" t="s">
        <v>283</v>
      </c>
      <c r="B2" s="103">
        <v>0</v>
      </c>
      <c r="C2" s="103" t="s">
        <v>238</v>
      </c>
      <c r="D2" s="103">
        <v>0.7</v>
      </c>
      <c r="E2" s="103">
        <v>1</v>
      </c>
    </row>
    <row r="3" spans="1:5">
      <c r="A3" s="103" t="s">
        <v>284</v>
      </c>
      <c r="B3" s="103">
        <f>IF(A3="", "", B2 +1)</f>
        <v>1</v>
      </c>
      <c r="C3" s="103" t="s">
        <v>240</v>
      </c>
      <c r="D3" s="103">
        <v>1</v>
      </c>
      <c r="E3" s="103">
        <v>1</v>
      </c>
    </row>
    <row r="4" spans="1:5">
      <c r="A4" s="103" t="s">
        <v>285</v>
      </c>
      <c r="B4" s="103">
        <f t="shared" ref="B4:B10" si="0">IF(A4="", "", B3 +1)</f>
        <v>2</v>
      </c>
      <c r="C4" s="103" t="s">
        <v>241</v>
      </c>
      <c r="D4" s="103">
        <v>1</v>
      </c>
      <c r="E4" s="103">
        <v>1</v>
      </c>
    </row>
    <row r="5" spans="1:5">
      <c r="A5" s="103" t="s">
        <v>286</v>
      </c>
      <c r="B5" s="103">
        <f t="shared" si="0"/>
        <v>3</v>
      </c>
      <c r="C5" s="103" t="s">
        <v>239</v>
      </c>
      <c r="D5" s="103">
        <v>0.7</v>
      </c>
      <c r="E5" s="103">
        <v>2</v>
      </c>
    </row>
    <row r="6" spans="1:5">
      <c r="A6" s="103" t="s">
        <v>287</v>
      </c>
      <c r="B6" s="103">
        <f t="shared" si="0"/>
        <v>4</v>
      </c>
      <c r="C6" s="103" t="s">
        <v>242</v>
      </c>
      <c r="D6" s="103">
        <v>1</v>
      </c>
      <c r="E6" s="103">
        <v>1</v>
      </c>
    </row>
    <row r="7" spans="1:5">
      <c r="A7" s="103" t="s">
        <v>288</v>
      </c>
      <c r="B7" s="103">
        <f t="shared" si="0"/>
        <v>5</v>
      </c>
      <c r="C7" s="103" t="s">
        <v>243</v>
      </c>
      <c r="D7" s="103">
        <v>1</v>
      </c>
      <c r="E7" s="103">
        <v>1</v>
      </c>
    </row>
    <row r="8" spans="1:5">
      <c r="A8" s="103" t="s">
        <v>289</v>
      </c>
      <c r="B8" s="103">
        <f t="shared" si="0"/>
        <v>6</v>
      </c>
      <c r="C8" s="103" t="s">
        <v>237</v>
      </c>
      <c r="D8" s="103">
        <v>1</v>
      </c>
      <c r="E8" s="103">
        <v>1</v>
      </c>
    </row>
    <row r="9" spans="1:5">
      <c r="A9" s="103" t="s">
        <v>298</v>
      </c>
      <c r="B9" s="103">
        <f t="shared" si="0"/>
        <v>7</v>
      </c>
      <c r="C9" s="103" t="s">
        <v>299</v>
      </c>
      <c r="D9" s="103">
        <v>1</v>
      </c>
      <c r="E9" s="103">
        <v>0.8</v>
      </c>
    </row>
    <row r="10" spans="1:5">
      <c r="A10" s="103" t="s">
        <v>305</v>
      </c>
      <c r="B10" s="103">
        <f t="shared" si="0"/>
        <v>8</v>
      </c>
      <c r="C10" s="103" t="s">
        <v>306</v>
      </c>
      <c r="D10" s="103">
        <v>1</v>
      </c>
      <c r="E10" s="103">
        <v>1.2</v>
      </c>
    </row>
    <row r="11" spans="1:5">
      <c r="A11" s="103"/>
      <c r="B11" s="103" t="str">
        <f t="shared" ref="B11:B13" si="1">IF(C11="", "", B10 +1)</f>
        <v/>
      </c>
      <c r="C11" s="103"/>
      <c r="D11" s="103"/>
      <c r="E11" s="103"/>
    </row>
    <row r="12" spans="1:5">
      <c r="A12" s="103"/>
      <c r="B12" s="103" t="str">
        <f t="shared" si="1"/>
        <v/>
      </c>
      <c r="C12" s="103"/>
      <c r="D12" s="103"/>
      <c r="E12" s="103"/>
    </row>
    <row r="13" spans="1:5">
      <c r="A13" s="103"/>
      <c r="B13" s="103" t="str">
        <f t="shared" si="1"/>
        <v/>
      </c>
      <c r="C13" s="103"/>
      <c r="D13" s="103"/>
      <c r="E13" s="103"/>
    </row>
  </sheetData>
  <phoneticPr fontId="17"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4C7017-8F5C-43C6-A5CD-F04943903A0F}">
  <sheetPr codeName="Sheet28"/>
  <dimension ref="A1:B7"/>
  <sheetViews>
    <sheetView workbookViewId="0">
      <selection sqref="A1:B7"/>
    </sheetView>
  </sheetViews>
  <sheetFormatPr defaultRowHeight="18.75"/>
  <cols>
    <col min="1" max="1" width="16" bestFit="1" customWidth="1"/>
  </cols>
  <sheetData>
    <row r="1" spans="1:2">
      <c r="A1" s="31" t="s">
        <v>234</v>
      </c>
      <c r="B1" s="31" t="s">
        <v>55</v>
      </c>
    </row>
    <row r="2" spans="1:2">
      <c r="A2" s="103" t="s">
        <v>244</v>
      </c>
      <c r="B2" s="103">
        <v>0</v>
      </c>
    </row>
    <row r="3" spans="1:2">
      <c r="A3" s="103" t="s">
        <v>245</v>
      </c>
      <c r="B3" s="103">
        <f>IF(A3= "", "", B2 + 1)</f>
        <v>1</v>
      </c>
    </row>
    <row r="4" spans="1:2">
      <c r="A4" s="103" t="s">
        <v>246</v>
      </c>
      <c r="B4" s="103">
        <f t="shared" ref="B4:B7" si="0">IF(A4= "", "", B3 + 1)</f>
        <v>2</v>
      </c>
    </row>
    <row r="5" spans="1:2">
      <c r="A5" s="103" t="s">
        <v>247</v>
      </c>
      <c r="B5" s="103">
        <f t="shared" si="0"/>
        <v>3</v>
      </c>
    </row>
    <row r="6" spans="1:2">
      <c r="A6" s="103" t="s">
        <v>248</v>
      </c>
      <c r="B6" s="103">
        <f t="shared" si="0"/>
        <v>4</v>
      </c>
    </row>
    <row r="7" spans="1:2">
      <c r="A7" s="103" t="s">
        <v>249</v>
      </c>
      <c r="B7" s="103">
        <f t="shared" si="0"/>
        <v>5</v>
      </c>
    </row>
  </sheetData>
  <phoneticPr fontId="17"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03B2E2-0104-4F8C-89AD-CA5E2C248582}">
  <sheetPr codeName="Sheet29"/>
  <dimension ref="A1:C16"/>
  <sheetViews>
    <sheetView workbookViewId="0">
      <selection activeCell="A6" sqref="A6"/>
    </sheetView>
  </sheetViews>
  <sheetFormatPr defaultRowHeight="18.75"/>
  <cols>
    <col min="1" max="1" width="21.375" bestFit="1" customWidth="1"/>
    <col min="2" max="2" width="9" customWidth="1"/>
    <col min="3" max="3" width="16.875" bestFit="1" customWidth="1"/>
  </cols>
  <sheetData>
    <row r="1" spans="1:3">
      <c r="A1" s="92" t="s">
        <v>93</v>
      </c>
      <c r="B1" s="92" t="s">
        <v>94</v>
      </c>
      <c r="C1" s="93" t="s">
        <v>234</v>
      </c>
    </row>
    <row r="2" spans="1:3">
      <c r="A2" s="103" t="s">
        <v>265</v>
      </c>
      <c r="B2" s="103">
        <v>0</v>
      </c>
      <c r="C2" s="103" t="s">
        <v>250</v>
      </c>
    </row>
    <row r="3" spans="1:3">
      <c r="A3" s="103" t="s">
        <v>266</v>
      </c>
      <c r="B3" s="103">
        <f t="shared" ref="B3:B15" si="0">IF(C3= "", "", B2 + 1)</f>
        <v>1</v>
      </c>
      <c r="C3" s="103" t="s">
        <v>251</v>
      </c>
    </row>
    <row r="4" spans="1:3">
      <c r="A4" s="103" t="s">
        <v>267</v>
      </c>
      <c r="B4" s="103">
        <f t="shared" si="0"/>
        <v>2</v>
      </c>
      <c r="C4" s="103" t="s">
        <v>252</v>
      </c>
    </row>
    <row r="5" spans="1:3">
      <c r="A5" s="103" t="s">
        <v>268</v>
      </c>
      <c r="B5" s="103">
        <f t="shared" si="0"/>
        <v>3</v>
      </c>
      <c r="C5" s="103" t="s">
        <v>253</v>
      </c>
    </row>
    <row r="6" spans="1:3">
      <c r="A6" s="103" t="s">
        <v>269</v>
      </c>
      <c r="B6" s="103">
        <f t="shared" si="0"/>
        <v>4</v>
      </c>
      <c r="C6" s="103" t="s">
        <v>254</v>
      </c>
    </row>
    <row r="7" spans="1:3">
      <c r="A7" s="103" t="s">
        <v>270</v>
      </c>
      <c r="B7" s="103">
        <f t="shared" si="0"/>
        <v>5</v>
      </c>
      <c r="C7" s="103" t="s">
        <v>255</v>
      </c>
    </row>
    <row r="8" spans="1:3">
      <c r="A8" s="103" t="s">
        <v>271</v>
      </c>
      <c r="B8" s="103">
        <f t="shared" si="0"/>
        <v>6</v>
      </c>
      <c r="C8" s="103" t="s">
        <v>256</v>
      </c>
    </row>
    <row r="9" spans="1:3">
      <c r="A9" s="103" t="s">
        <v>273</v>
      </c>
      <c r="B9" s="103">
        <f t="shared" si="0"/>
        <v>7</v>
      </c>
      <c r="C9" s="103" t="s">
        <v>257</v>
      </c>
    </row>
    <row r="10" spans="1:3">
      <c r="A10" s="103" t="s">
        <v>275</v>
      </c>
      <c r="B10" s="103">
        <f t="shared" si="0"/>
        <v>8</v>
      </c>
      <c r="C10" s="103" t="s">
        <v>258</v>
      </c>
    </row>
    <row r="11" spans="1:3">
      <c r="A11" s="103" t="s">
        <v>277</v>
      </c>
      <c r="B11" s="103">
        <f t="shared" si="0"/>
        <v>9</v>
      </c>
      <c r="C11" s="103" t="s">
        <v>259</v>
      </c>
    </row>
    <row r="12" spans="1:3">
      <c r="A12" s="103" t="s">
        <v>279</v>
      </c>
      <c r="B12" s="103">
        <f t="shared" si="0"/>
        <v>10</v>
      </c>
      <c r="C12" s="103" t="s">
        <v>260</v>
      </c>
    </row>
    <row r="13" spans="1:3">
      <c r="A13" s="103" t="s">
        <v>280</v>
      </c>
      <c r="B13" s="103">
        <f t="shared" si="0"/>
        <v>11</v>
      </c>
      <c r="C13" s="103" t="s">
        <v>261</v>
      </c>
    </row>
    <row r="14" spans="1:3">
      <c r="A14" s="103" t="s">
        <v>281</v>
      </c>
      <c r="B14" s="103">
        <f t="shared" si="0"/>
        <v>12</v>
      </c>
      <c r="C14" s="103" t="s">
        <v>262</v>
      </c>
    </row>
    <row r="15" spans="1:3">
      <c r="A15" s="103" t="s">
        <v>282</v>
      </c>
      <c r="B15" s="103">
        <f t="shared" si="0"/>
        <v>13</v>
      </c>
      <c r="C15" s="103" t="s">
        <v>264</v>
      </c>
    </row>
    <row r="16" spans="1:3">
      <c r="A16" s="103" t="s">
        <v>309</v>
      </c>
      <c r="B16" s="103">
        <f t="shared" ref="B16" si="1">IF(C16= "", "", B15 + 1)</f>
        <v>14</v>
      </c>
      <c r="C16" s="103" t="s">
        <v>307</v>
      </c>
    </row>
  </sheetData>
  <phoneticPr fontId="17"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476B11-9052-4693-9D27-6DFE934A31BB}">
  <sheetPr codeName="Sheet30"/>
  <dimension ref="A1:C4"/>
  <sheetViews>
    <sheetView workbookViewId="0">
      <selection activeCell="C2" sqref="C2"/>
    </sheetView>
  </sheetViews>
  <sheetFormatPr defaultRowHeight="18.75"/>
  <cols>
    <col min="1" max="1" width="19.375" bestFit="1" customWidth="1"/>
    <col min="2" max="2" width="7.5" customWidth="1"/>
    <col min="3" max="3" width="20.125" customWidth="1"/>
  </cols>
  <sheetData>
    <row r="1" spans="1:3">
      <c r="A1" s="92" t="s">
        <v>317</v>
      </c>
      <c r="B1" s="92" t="s">
        <v>94</v>
      </c>
      <c r="C1" s="116" t="s">
        <v>311</v>
      </c>
    </row>
    <row r="2" spans="1:3">
      <c r="A2" s="103" t="s">
        <v>312</v>
      </c>
      <c r="B2" s="103">
        <v>0</v>
      </c>
      <c r="C2" s="103" t="s">
        <v>315</v>
      </c>
    </row>
    <row r="3" spans="1:3">
      <c r="A3" s="103" t="s">
        <v>313</v>
      </c>
      <c r="B3" s="103">
        <f>IF(A3="", "", B2+1)</f>
        <v>1</v>
      </c>
      <c r="C3" s="103"/>
    </row>
    <row r="4" spans="1:3">
      <c r="A4" s="103" t="s">
        <v>314</v>
      </c>
      <c r="B4" s="103">
        <f>IF(A4="", "", B3+1)</f>
        <v>2</v>
      </c>
      <c r="C4" s="103"/>
    </row>
  </sheetData>
  <phoneticPr fontId="17"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B27D3C-3ABA-47C6-9849-2BFF85E3397B}">
  <sheetPr codeName="Sheet10"/>
  <dimension ref="B2:AA30"/>
  <sheetViews>
    <sheetView workbookViewId="0">
      <selection activeCell="B2" sqref="B2"/>
    </sheetView>
  </sheetViews>
  <sheetFormatPr defaultRowHeight="18.75"/>
  <cols>
    <col min="1" max="1" width="9" style="1"/>
    <col min="2" max="2" width="18.5" style="1" bestFit="1" customWidth="1"/>
    <col min="3" max="3" width="6.5" style="1" bestFit="1" customWidth="1"/>
    <col min="4" max="4" width="9" style="1" customWidth="1"/>
    <col min="5" max="5" width="16.375" style="1" bestFit="1" customWidth="1"/>
    <col min="6" max="7" width="9" style="1"/>
    <col min="8" max="8" width="13" style="1" bestFit="1" customWidth="1"/>
    <col min="9" max="10" width="9" style="1"/>
    <col min="11" max="11" width="12.25" style="1" bestFit="1" customWidth="1"/>
    <col min="12" max="13" width="9" style="1"/>
    <col min="14" max="14" width="10.125" style="1" bestFit="1" customWidth="1"/>
    <col min="15" max="16384" width="9" style="1"/>
  </cols>
  <sheetData>
    <row r="2" spans="2:24">
      <c r="B2" s="32" t="s">
        <v>110</v>
      </c>
      <c r="C2" s="32" t="s">
        <v>94</v>
      </c>
      <c r="E2" s="46" t="s">
        <v>109</v>
      </c>
      <c r="F2" s="46" t="s">
        <v>94</v>
      </c>
      <c r="H2" s="53" t="s">
        <v>71</v>
      </c>
      <c r="I2" s="53" t="s">
        <v>94</v>
      </c>
      <c r="K2" s="32" t="s">
        <v>130</v>
      </c>
      <c r="L2" s="32" t="s">
        <v>94</v>
      </c>
      <c r="N2" s="63" t="s">
        <v>133</v>
      </c>
      <c r="T2" s="41"/>
      <c r="U2" s="41"/>
      <c r="V2" s="40"/>
      <c r="W2" s="42"/>
      <c r="X2" s="42"/>
    </row>
    <row r="3" spans="2:24">
      <c r="B3" s="17" t="s">
        <v>42</v>
      </c>
      <c r="C3" s="9">
        <v>40000</v>
      </c>
      <c r="E3" s="35" t="s">
        <v>110</v>
      </c>
      <c r="F3" s="9">
        <v>0</v>
      </c>
      <c r="H3" s="75" t="s">
        <v>62</v>
      </c>
      <c r="I3" s="9">
        <v>0</v>
      </c>
      <c r="K3" s="35" t="s">
        <v>131</v>
      </c>
      <c r="L3" s="9">
        <v>0</v>
      </c>
      <c r="N3" s="45" t="s">
        <v>134</v>
      </c>
      <c r="T3" s="43"/>
      <c r="U3" s="43"/>
      <c r="V3" s="40"/>
      <c r="W3" s="40"/>
      <c r="X3" s="40"/>
    </row>
    <row r="4" spans="2:24">
      <c r="B4" s="17" t="s">
        <v>43</v>
      </c>
      <c r="C4" s="9">
        <f>C3 + 1</f>
        <v>40001</v>
      </c>
      <c r="E4" s="35" t="s">
        <v>113</v>
      </c>
      <c r="F4" s="9">
        <f>F3+1</f>
        <v>1</v>
      </c>
      <c r="H4" s="35" t="s">
        <v>63</v>
      </c>
      <c r="I4" s="9">
        <f>I3+1</f>
        <v>1</v>
      </c>
      <c r="K4" s="35" t="s">
        <v>132</v>
      </c>
      <c r="L4" s="9">
        <f>L3+1</f>
        <v>1</v>
      </c>
      <c r="N4" s="45" t="s">
        <v>135</v>
      </c>
      <c r="T4" s="43"/>
      <c r="U4" s="43"/>
      <c r="V4" s="40"/>
      <c r="W4" s="40"/>
      <c r="X4" s="40"/>
    </row>
    <row r="5" spans="2:24">
      <c r="B5" s="134" t="s">
        <v>113</v>
      </c>
      <c r="C5" s="135"/>
      <c r="E5" s="35" t="s">
        <v>111</v>
      </c>
      <c r="F5" s="9">
        <f t="shared" ref="F5:F6" si="0">F4+1</f>
        <v>2</v>
      </c>
      <c r="T5" s="43"/>
      <c r="U5" s="43"/>
      <c r="V5" s="40"/>
      <c r="W5" s="40"/>
      <c r="X5" s="40"/>
    </row>
    <row r="6" spans="2:24">
      <c r="B6" s="17" t="s">
        <v>44</v>
      </c>
      <c r="C6" s="9">
        <v>45000</v>
      </c>
      <c r="E6" s="35" t="s">
        <v>112</v>
      </c>
      <c r="F6" s="9">
        <f t="shared" si="0"/>
        <v>3</v>
      </c>
      <c r="H6" s="54" t="s">
        <v>122</v>
      </c>
      <c r="I6" s="54" t="s">
        <v>94</v>
      </c>
      <c r="T6" s="43"/>
      <c r="U6" s="43"/>
      <c r="V6" s="40"/>
      <c r="W6" s="40"/>
      <c r="X6" s="40"/>
    </row>
    <row r="7" spans="2:24">
      <c r="B7" s="130" t="s">
        <v>106</v>
      </c>
      <c r="C7" s="131"/>
      <c r="H7" s="35" t="s">
        <v>69</v>
      </c>
      <c r="I7" s="9">
        <v>0</v>
      </c>
      <c r="Q7" s="43"/>
      <c r="R7" s="43"/>
      <c r="S7" s="43"/>
      <c r="T7" s="43"/>
      <c r="U7" s="43"/>
      <c r="V7" s="40"/>
      <c r="W7" s="40"/>
      <c r="X7" s="40"/>
    </row>
    <row r="8" spans="2:24">
      <c r="B8" s="35" t="s">
        <v>102</v>
      </c>
      <c r="C8" s="9">
        <v>50000</v>
      </c>
      <c r="H8" s="35" t="s">
        <v>70</v>
      </c>
      <c r="I8" s="9">
        <f>I7+1</f>
        <v>1</v>
      </c>
      <c r="Q8" s="43"/>
      <c r="R8" s="43"/>
      <c r="S8" s="43"/>
      <c r="T8" s="43"/>
      <c r="U8" s="43"/>
      <c r="V8" s="40"/>
      <c r="W8" s="40"/>
      <c r="X8" s="40"/>
    </row>
    <row r="9" spans="2:24">
      <c r="B9" s="132" t="s">
        <v>105</v>
      </c>
      <c r="C9" s="133"/>
      <c r="H9" s="35" t="s">
        <v>123</v>
      </c>
      <c r="I9" s="9">
        <f>I8+1</f>
        <v>2</v>
      </c>
      <c r="T9" s="43"/>
      <c r="U9" s="43"/>
      <c r="V9" s="40"/>
      <c r="W9" s="40"/>
      <c r="X9" s="40"/>
    </row>
    <row r="10" spans="2:24">
      <c r="B10" s="17" t="s">
        <v>45</v>
      </c>
      <c r="C10" s="9">
        <v>60000</v>
      </c>
      <c r="T10" s="43"/>
      <c r="U10" s="43"/>
      <c r="V10" s="40"/>
      <c r="W10" s="40"/>
      <c r="X10" s="40"/>
    </row>
    <row r="11" spans="2:24">
      <c r="B11" s="17" t="s">
        <v>46</v>
      </c>
      <c r="C11" s="9">
        <f>C10+1</f>
        <v>60001</v>
      </c>
      <c r="H11" s="34" t="s">
        <v>125</v>
      </c>
      <c r="I11" s="34" t="s">
        <v>94</v>
      </c>
      <c r="T11" s="40"/>
      <c r="U11" s="40"/>
      <c r="V11" s="40"/>
      <c r="W11" s="40"/>
      <c r="X11" s="40"/>
    </row>
    <row r="12" spans="2:24">
      <c r="B12" s="9"/>
      <c r="C12" s="9"/>
      <c r="H12" s="35" t="s">
        <v>64</v>
      </c>
      <c r="I12" s="9">
        <v>0</v>
      </c>
      <c r="T12" s="40"/>
      <c r="U12" s="40"/>
      <c r="V12" s="40"/>
      <c r="W12" s="40"/>
      <c r="X12" s="40"/>
    </row>
    <row r="13" spans="2:24">
      <c r="H13" s="35" t="s">
        <v>124</v>
      </c>
      <c r="I13" s="9">
        <f>I12+1</f>
        <v>1</v>
      </c>
      <c r="T13" s="40"/>
      <c r="U13" s="40"/>
      <c r="V13" s="40"/>
      <c r="W13" s="40"/>
      <c r="X13" s="40"/>
    </row>
    <row r="14" spans="2:24">
      <c r="T14" s="40"/>
      <c r="U14" s="40"/>
      <c r="V14" s="40"/>
      <c r="W14" s="40"/>
      <c r="X14" s="40"/>
    </row>
    <row r="15" spans="2:24">
      <c r="Q15" s="43"/>
      <c r="R15" s="43"/>
      <c r="S15" s="43"/>
    </row>
    <row r="16" spans="2:24">
      <c r="Q16" s="43"/>
      <c r="R16" s="43"/>
      <c r="S16" s="43"/>
    </row>
    <row r="17" spans="8:27">
      <c r="Q17" s="43"/>
      <c r="R17" s="43"/>
      <c r="S17" s="43"/>
    </row>
    <row r="18" spans="8:27">
      <c r="H18" s="43"/>
      <c r="I18" s="43"/>
      <c r="J18" s="43"/>
      <c r="K18" s="43"/>
      <c r="L18" s="43"/>
      <c r="M18" s="43"/>
      <c r="N18" s="40"/>
      <c r="O18" s="43"/>
      <c r="P18" s="43"/>
      <c r="Q18" s="43"/>
      <c r="R18" s="43"/>
      <c r="S18" s="43"/>
    </row>
    <row r="19" spans="8:27">
      <c r="H19" s="43"/>
      <c r="I19" s="43"/>
      <c r="J19" s="43"/>
      <c r="K19" s="43"/>
      <c r="L19" s="43"/>
      <c r="M19" s="43"/>
      <c r="N19" s="40"/>
      <c r="O19" s="43"/>
      <c r="P19" s="43"/>
      <c r="Q19" s="43"/>
      <c r="R19" s="43"/>
      <c r="S19" s="43"/>
    </row>
    <row r="20" spans="8:27">
      <c r="H20" s="43"/>
      <c r="I20" s="43"/>
      <c r="J20" s="43"/>
      <c r="K20" s="43"/>
      <c r="L20" s="43"/>
      <c r="M20" s="43"/>
      <c r="N20" s="40"/>
      <c r="O20" s="43"/>
      <c r="P20" s="43"/>
      <c r="Q20" s="43"/>
      <c r="R20" s="43"/>
      <c r="S20" s="43"/>
    </row>
    <row r="21" spans="8:27">
      <c r="H21" s="43"/>
      <c r="I21" s="43"/>
      <c r="J21" s="43"/>
      <c r="K21" s="43"/>
      <c r="L21" s="43"/>
      <c r="M21" s="43"/>
      <c r="N21" s="40"/>
      <c r="O21" s="43"/>
      <c r="P21" s="43"/>
      <c r="Q21" s="43"/>
      <c r="R21" s="43"/>
      <c r="S21" s="43"/>
    </row>
    <row r="22" spans="8:27">
      <c r="H22" s="43"/>
      <c r="I22" s="43"/>
      <c r="J22" s="43"/>
      <c r="K22" s="43"/>
      <c r="L22" s="43"/>
      <c r="M22" s="43"/>
      <c r="N22" s="40"/>
      <c r="O22" s="43"/>
      <c r="P22" s="43"/>
      <c r="Q22" s="43"/>
      <c r="R22" s="43"/>
      <c r="S22" s="43"/>
    </row>
    <row r="23" spans="8:27">
      <c r="H23" s="43"/>
      <c r="I23" s="43"/>
      <c r="J23" s="43"/>
      <c r="K23" s="43"/>
      <c r="L23" s="43"/>
      <c r="M23" s="43"/>
      <c r="N23" s="40"/>
      <c r="O23" s="43"/>
      <c r="P23" s="43"/>
      <c r="Q23" s="43"/>
      <c r="R23" s="43"/>
      <c r="S23" s="43"/>
    </row>
    <row r="24" spans="8:27">
      <c r="H24" s="43"/>
      <c r="I24" s="43"/>
      <c r="J24" s="43"/>
      <c r="K24" s="43"/>
      <c r="L24" s="43"/>
      <c r="M24" s="43"/>
      <c r="N24" s="40"/>
      <c r="O24" s="43"/>
      <c r="P24" s="44"/>
      <c r="Q24" s="44"/>
      <c r="R24" s="44"/>
      <c r="S24" s="44"/>
      <c r="T24" s="44"/>
      <c r="U24" s="44"/>
      <c r="V24" s="42"/>
      <c r="W24" s="42"/>
      <c r="X24" s="49"/>
      <c r="Y24" s="49"/>
      <c r="Z24" s="49"/>
      <c r="AA24" s="49"/>
    </row>
    <row r="25" spans="8:27">
      <c r="H25" s="43"/>
      <c r="I25" s="43"/>
      <c r="J25" s="43"/>
      <c r="K25" s="43"/>
      <c r="L25" s="43"/>
      <c r="M25" s="43"/>
      <c r="N25" s="40"/>
      <c r="O25" s="43"/>
      <c r="P25" s="43"/>
      <c r="Q25" s="43"/>
      <c r="R25" s="43"/>
      <c r="S25" s="43"/>
      <c r="T25" s="43"/>
      <c r="U25" s="43"/>
      <c r="V25" s="40"/>
      <c r="W25" s="43"/>
      <c r="X25" s="43"/>
      <c r="Y25" s="43"/>
      <c r="Z25" s="43"/>
      <c r="AA25" s="43"/>
    </row>
    <row r="26" spans="8:27">
      <c r="H26" s="43"/>
      <c r="I26" s="43"/>
      <c r="J26" s="43"/>
      <c r="K26" s="43"/>
      <c r="L26" s="43"/>
      <c r="M26" s="43"/>
      <c r="N26" s="40"/>
      <c r="O26" s="43"/>
      <c r="P26" s="43"/>
      <c r="Q26" s="43"/>
      <c r="R26" s="43"/>
      <c r="S26" s="43"/>
      <c r="T26" s="43"/>
      <c r="U26" s="43"/>
      <c r="V26" s="40"/>
      <c r="W26" s="43"/>
      <c r="X26" s="43"/>
      <c r="Y26" s="43"/>
      <c r="Z26" s="43"/>
      <c r="AA26" s="43"/>
    </row>
    <row r="27" spans="8:27">
      <c r="H27" s="43"/>
      <c r="I27" s="43"/>
      <c r="J27" s="43"/>
      <c r="K27" s="43"/>
      <c r="L27" s="43"/>
      <c r="M27" s="43"/>
      <c r="N27" s="40"/>
      <c r="O27" s="43"/>
      <c r="P27" s="43"/>
      <c r="Q27" s="43"/>
      <c r="R27" s="43"/>
      <c r="S27" s="43"/>
      <c r="T27" s="43"/>
      <c r="U27" s="43"/>
      <c r="V27" s="40"/>
      <c r="W27" s="43"/>
      <c r="X27" s="43"/>
      <c r="Y27" s="43"/>
      <c r="Z27" s="43"/>
      <c r="AA27" s="43"/>
    </row>
    <row r="28" spans="8:27">
      <c r="H28" s="43"/>
      <c r="I28" s="43"/>
      <c r="J28" s="43"/>
      <c r="K28" s="43"/>
      <c r="L28" s="43"/>
      <c r="M28" s="43"/>
      <c r="N28" s="40"/>
      <c r="O28" s="43"/>
      <c r="P28" s="43"/>
      <c r="Q28" s="43"/>
      <c r="R28" s="43"/>
      <c r="S28" s="43"/>
      <c r="T28" s="43"/>
      <c r="U28" s="43"/>
      <c r="V28" s="40"/>
      <c r="W28" s="43"/>
      <c r="X28" s="43"/>
      <c r="Y28" s="43"/>
      <c r="Z28" s="43"/>
      <c r="AA28" s="43"/>
    </row>
    <row r="29" spans="8:27">
      <c r="H29" s="43"/>
      <c r="I29" s="43"/>
      <c r="J29" s="43"/>
      <c r="K29" s="43"/>
      <c r="L29" s="43"/>
      <c r="M29" s="43"/>
      <c r="N29" s="40"/>
      <c r="O29" s="43"/>
      <c r="P29" s="43"/>
      <c r="Q29" s="43"/>
      <c r="R29" s="43"/>
      <c r="S29" s="43"/>
      <c r="T29" s="43"/>
      <c r="U29" s="43"/>
      <c r="V29" s="40"/>
      <c r="W29" s="43"/>
      <c r="X29" s="43"/>
      <c r="Y29" s="43"/>
      <c r="Z29" s="43"/>
      <c r="AA29" s="43"/>
    </row>
    <row r="30" spans="8:27">
      <c r="H30" s="43"/>
      <c r="I30" s="43"/>
      <c r="J30" s="43"/>
      <c r="K30" s="43"/>
      <c r="L30" s="43"/>
      <c r="M30" s="43"/>
      <c r="N30" s="40"/>
      <c r="O30" s="43"/>
      <c r="P30" s="43"/>
      <c r="Q30" s="43"/>
      <c r="R30" s="43"/>
      <c r="S30" s="43"/>
    </row>
  </sheetData>
  <mergeCells count="3">
    <mergeCell ref="B7:C7"/>
    <mergeCell ref="B9:C9"/>
    <mergeCell ref="B5:C5"/>
  </mergeCells>
  <phoneticPr fontId="17"/>
  <dataValidations count="8">
    <dataValidation type="list" allowBlank="1" showInputMessage="1" showErrorMessage="1" sqref="V25:V27" xr:uid="{12361963-1109-4B1B-922C-4A81FBAF2946}">
      <formula1>効果割合</formula1>
    </dataValidation>
    <dataValidation type="list" allowBlank="1" showInputMessage="1" showErrorMessage="1" sqref="T25:T27" xr:uid="{377C8D82-BE2D-44AF-845A-51ED780238FF}">
      <formula1>効果範囲</formula1>
    </dataValidation>
    <dataValidation type="list" allowBlank="1" showInputMessage="1" showErrorMessage="1" sqref="R25:R28" xr:uid="{7C940D46-39F2-47D8-A701-1C67ED68DDD0}">
      <formula1>対象</formula1>
    </dataValidation>
    <dataValidation type="list" allowBlank="1" showInputMessage="1" showErrorMessage="1" sqref="P25:P28" xr:uid="{D524C13C-AA09-45E7-A567-3D2E908AE504}">
      <formula1>効果</formula1>
    </dataValidation>
    <dataValidation type="list" allowBlank="1" showInputMessage="1" showErrorMessage="1" sqref="T28:T29 L18:L30" xr:uid="{AA736029-32B1-46F7-81B2-519732422D5F}">
      <formula1>効果範囲種類</formula1>
    </dataValidation>
    <dataValidation type="list" allowBlank="1" showInputMessage="1" showErrorMessage="1" sqref="V28:V29 N18:N30" xr:uid="{82C378CA-9E71-4A85-8C62-FECACE0CCC70}">
      <formula1>効果割合種類</formula1>
    </dataValidation>
    <dataValidation type="list" allowBlank="1" showInputMessage="1" showErrorMessage="1" sqref="P24:P29 H18:H30" xr:uid="{522373C0-3026-4710-AE68-9230B63BB028}">
      <formula1>効果種類</formula1>
    </dataValidation>
    <dataValidation type="list" allowBlank="1" showInputMessage="1" showErrorMessage="1" sqref="R24:R29 J18:J30" xr:uid="{31CB4C9E-E448-4B33-A88D-8A9F69E62B20}">
      <formula1>対象種類</formula1>
    </dataValidation>
  </dataValidations>
  <pageMargins left="0.7" right="0.7" top="0.75" bottom="0.75" header="0.3" footer="0.3"/>
  <pageSetup paperSize="9" orientation="portrait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A816A1-4835-4039-B9D3-1FEF692AA158}">
  <sheetPr codeName="Sheet9"/>
  <dimension ref="B14:L28"/>
  <sheetViews>
    <sheetView topLeftCell="A13" workbookViewId="0">
      <selection activeCell="K19" sqref="K19"/>
    </sheetView>
  </sheetViews>
  <sheetFormatPr defaultRowHeight="18.75"/>
  <cols>
    <col min="2" max="2" width="12.875" customWidth="1"/>
    <col min="5" max="5" width="15.25" customWidth="1"/>
    <col min="8" max="8" width="10" bestFit="1" customWidth="1"/>
    <col min="9" max="9" width="10" customWidth="1"/>
    <col min="11" max="11" width="9.25" customWidth="1"/>
  </cols>
  <sheetData>
    <row r="14" spans="2:12">
      <c r="B14" s="136" t="s">
        <v>12</v>
      </c>
      <c r="C14" s="136"/>
      <c r="D14" s="1"/>
      <c r="E14" s="137" t="s">
        <v>22</v>
      </c>
      <c r="F14" s="137"/>
      <c r="G14" s="1"/>
      <c r="H14" s="137" t="s">
        <v>11</v>
      </c>
      <c r="I14" s="137"/>
      <c r="K14" s="138" t="s">
        <v>51</v>
      </c>
      <c r="L14" s="138"/>
    </row>
    <row r="15" spans="2:12">
      <c r="B15" s="33" t="s">
        <v>9</v>
      </c>
      <c r="C15" s="2" t="s">
        <v>7</v>
      </c>
      <c r="D15" s="1"/>
      <c r="E15" s="10" t="s">
        <v>9</v>
      </c>
      <c r="F15" s="10" t="s">
        <v>7</v>
      </c>
      <c r="G15" s="1"/>
      <c r="H15" s="4" t="s">
        <v>8</v>
      </c>
      <c r="I15" s="3" t="s">
        <v>10</v>
      </c>
      <c r="K15" s="18" t="s">
        <v>143</v>
      </c>
      <c r="L15" s="18">
        <v>0</v>
      </c>
    </row>
    <row r="16" spans="2:12">
      <c r="B16" s="79" t="s">
        <v>80</v>
      </c>
      <c r="C16" s="77">
        <v>10000</v>
      </c>
      <c r="D16" s="1"/>
      <c r="E16" s="88" t="s">
        <v>23</v>
      </c>
      <c r="F16" s="88">
        <v>20000</v>
      </c>
      <c r="G16" s="1"/>
      <c r="H16" s="66" t="s">
        <v>147</v>
      </c>
      <c r="I16" s="16">
        <v>0</v>
      </c>
      <c r="K16" s="18" t="s">
        <v>145</v>
      </c>
      <c r="L16" s="18">
        <v>1</v>
      </c>
    </row>
    <row r="17" spans="2:12">
      <c r="B17" s="79" t="s">
        <v>78</v>
      </c>
      <c r="C17" s="77">
        <f>IF(B17="","",C16+1)</f>
        <v>10001</v>
      </c>
      <c r="D17" s="1"/>
      <c r="E17" s="88" t="s">
        <v>24</v>
      </c>
      <c r="F17" s="88">
        <f>IF(E17="", "", F16+1)</f>
        <v>20001</v>
      </c>
      <c r="G17" s="1"/>
      <c r="H17" s="66" t="s">
        <v>149</v>
      </c>
      <c r="I17" s="16">
        <f t="shared" ref="I17:I27" si="0">I16+1</f>
        <v>1</v>
      </c>
      <c r="K17" s="18"/>
      <c r="L17" s="18"/>
    </row>
    <row r="18" spans="2:12">
      <c r="B18" s="77"/>
      <c r="C18" s="77" t="str">
        <f>IF(B18="","",C17+1)</f>
        <v/>
      </c>
      <c r="D18" s="1"/>
      <c r="E18" s="88" t="s">
        <v>48</v>
      </c>
      <c r="F18" s="88">
        <f>IF(E18="", "", F17+1)</f>
        <v>20002</v>
      </c>
      <c r="G18" s="1"/>
      <c r="H18" s="66" t="s">
        <v>151</v>
      </c>
      <c r="I18" s="16">
        <f t="shared" si="0"/>
        <v>2</v>
      </c>
    </row>
    <row r="19" spans="2:12">
      <c r="B19" s="77"/>
      <c r="C19" s="77" t="str">
        <f>IF(B19="","",C18+1)</f>
        <v/>
      </c>
      <c r="D19" s="1"/>
      <c r="E19" s="1"/>
      <c r="F19" s="1"/>
      <c r="G19" s="1"/>
      <c r="H19" s="66" t="s">
        <v>153</v>
      </c>
      <c r="I19" s="16">
        <f t="shared" si="0"/>
        <v>3</v>
      </c>
    </row>
    <row r="20" spans="2:12">
      <c r="B20" s="1"/>
      <c r="C20" s="1"/>
      <c r="D20" s="1"/>
      <c r="E20" s="1"/>
      <c r="F20" s="1"/>
      <c r="G20" s="1"/>
      <c r="H20" s="66" t="s">
        <v>155</v>
      </c>
      <c r="I20" s="16">
        <f t="shared" si="0"/>
        <v>4</v>
      </c>
    </row>
    <row r="21" spans="2:12">
      <c r="B21" s="1"/>
      <c r="C21" s="1"/>
      <c r="D21" s="1"/>
      <c r="E21" s="1"/>
      <c r="F21" s="1"/>
      <c r="G21" s="1"/>
      <c r="H21" s="66" t="s">
        <v>157</v>
      </c>
      <c r="I21" s="16">
        <f t="shared" si="0"/>
        <v>5</v>
      </c>
    </row>
    <row r="22" spans="2:12">
      <c r="B22" s="1"/>
      <c r="C22" s="1"/>
      <c r="D22" s="1"/>
      <c r="E22" s="1"/>
      <c r="F22" s="1"/>
      <c r="G22" s="1"/>
      <c r="H22" s="66" t="s">
        <v>159</v>
      </c>
      <c r="I22" s="16">
        <f t="shared" si="0"/>
        <v>6</v>
      </c>
    </row>
    <row r="23" spans="2:12">
      <c r="B23" s="1"/>
      <c r="C23" s="1"/>
      <c r="D23" s="1"/>
      <c r="E23" s="1"/>
      <c r="F23" s="1"/>
      <c r="G23" s="1"/>
      <c r="H23" s="66" t="s">
        <v>160</v>
      </c>
      <c r="I23" s="16">
        <f t="shared" si="0"/>
        <v>7</v>
      </c>
    </row>
    <row r="24" spans="2:12">
      <c r="B24" s="1"/>
      <c r="C24" s="1"/>
      <c r="D24" s="1"/>
      <c r="E24" s="1"/>
      <c r="F24" s="1"/>
      <c r="G24" s="1"/>
      <c r="H24" s="66" t="s">
        <v>162</v>
      </c>
      <c r="I24" s="16">
        <f t="shared" si="0"/>
        <v>8</v>
      </c>
    </row>
    <row r="25" spans="2:12">
      <c r="B25" s="136" t="s">
        <v>173</v>
      </c>
      <c r="C25" s="136"/>
      <c r="D25" s="1"/>
      <c r="E25" s="1"/>
      <c r="F25" s="1"/>
      <c r="G25" s="1"/>
      <c r="H25" s="66" t="s">
        <v>163</v>
      </c>
      <c r="I25" s="16">
        <f t="shared" si="0"/>
        <v>9</v>
      </c>
    </row>
    <row r="26" spans="2:12">
      <c r="B26" s="90" t="s">
        <v>174</v>
      </c>
      <c r="C26" s="90" t="s">
        <v>55</v>
      </c>
      <c r="D26" s="1"/>
      <c r="E26" s="1"/>
      <c r="F26" s="1"/>
      <c r="G26" s="1"/>
      <c r="H26" s="66" t="s">
        <v>164</v>
      </c>
      <c r="I26" s="16">
        <f t="shared" si="0"/>
        <v>10</v>
      </c>
    </row>
    <row r="27" spans="2:12">
      <c r="B27" s="21" t="s">
        <v>176</v>
      </c>
      <c r="C27" s="21">
        <v>15000</v>
      </c>
      <c r="H27" s="66" t="s">
        <v>165</v>
      </c>
      <c r="I27" s="16">
        <f t="shared" si="0"/>
        <v>11</v>
      </c>
    </row>
    <row r="28" spans="2:12">
      <c r="B28" s="89"/>
      <c r="C28" s="89"/>
    </row>
  </sheetData>
  <mergeCells count="5">
    <mergeCell ref="B14:C14"/>
    <mergeCell ref="E14:F14"/>
    <mergeCell ref="H14:I14"/>
    <mergeCell ref="K14:L14"/>
    <mergeCell ref="B25:C25"/>
  </mergeCells>
  <phoneticPr fontId="17"/>
  <pageMargins left="0.7" right="0.7" top="0.75" bottom="0.75" header="0.3" footer="0.3"/>
  <pageSetup paperSize="9" orientation="portrait" horizontalDpi="4294967293" verticalDpi="0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7485D0-51AD-4530-994A-E493912A8AAB}">
  <sheetPr codeName="Sheet16"/>
  <dimension ref="A1:E4"/>
  <sheetViews>
    <sheetView workbookViewId="0">
      <selection activeCell="E10" sqref="E10"/>
    </sheetView>
  </sheetViews>
  <sheetFormatPr defaultRowHeight="18.75"/>
  <cols>
    <col min="1" max="1" width="11" bestFit="1" customWidth="1"/>
    <col min="2" max="2" width="8.75" customWidth="1"/>
    <col min="3" max="3" width="11.25" bestFit="1" customWidth="1"/>
    <col min="4" max="4" width="10.125" bestFit="1" customWidth="1"/>
    <col min="5" max="5" width="36.75" bestFit="1" customWidth="1"/>
  </cols>
  <sheetData>
    <row r="1" spans="1:5">
      <c r="A1" s="71" t="s">
        <v>5</v>
      </c>
      <c r="B1" s="71" t="s">
        <v>139</v>
      </c>
      <c r="C1" s="74" t="s">
        <v>49</v>
      </c>
      <c r="D1" s="74" t="s">
        <v>50</v>
      </c>
      <c r="E1" s="72" t="s">
        <v>141</v>
      </c>
    </row>
    <row r="2" spans="1:5">
      <c r="A2" s="70" t="s">
        <v>171</v>
      </c>
      <c r="B2" s="70">
        <f>IF(A2="","",VLOOKUP(A2, 地形名_ID, 2, FALSE))</f>
        <v>30000</v>
      </c>
      <c r="C2" s="73" t="s">
        <v>146</v>
      </c>
      <c r="D2" s="73">
        <f>IF(C2="", "", VLOOKUP(C2, モーション名_ID, 2, FALSE))</f>
        <v>0</v>
      </c>
      <c r="E2" s="70" t="s">
        <v>172</v>
      </c>
    </row>
    <row r="3" spans="1:5">
      <c r="A3" s="70" t="s">
        <v>171</v>
      </c>
      <c r="B3" s="70">
        <f>B2 +1</f>
        <v>30001</v>
      </c>
      <c r="C3" s="73" t="s">
        <v>146</v>
      </c>
      <c r="D3" s="73">
        <f>IF(C3="", "", VLOOKUP(C3, モーション名_ID, 2, FALSE))</f>
        <v>0</v>
      </c>
      <c r="E3" s="70" t="s">
        <v>195</v>
      </c>
    </row>
    <row r="4" spans="1:5">
      <c r="A4" s="70" t="s">
        <v>171</v>
      </c>
      <c r="B4" s="70">
        <f>B3 +1</f>
        <v>30002</v>
      </c>
      <c r="C4" s="73" t="s">
        <v>146</v>
      </c>
      <c r="D4" s="73">
        <f>IF(C4="", "", VLOOKUP(C4, モーション名_ID, 2, FALSE))</f>
        <v>0</v>
      </c>
      <c r="E4" s="70" t="s">
        <v>196</v>
      </c>
    </row>
  </sheetData>
  <phoneticPr fontId="17"/>
  <dataValidations count="2">
    <dataValidation type="list" allowBlank="1" showInputMessage="1" showErrorMessage="1" sqref="A2:A4" xr:uid="{9E519E7A-0B39-4F75-B8A8-700FAAEF90D1}">
      <formula1>地形名</formula1>
    </dataValidation>
    <dataValidation type="list" allowBlank="1" showInputMessage="1" showErrorMessage="1" sqref="C2:C4" xr:uid="{39CFF327-8CA0-473A-9FDE-B10ECF8E363D}">
      <formula1>モーション名</formula1>
    </dataValidation>
  </dataValidations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D1ED3F-DCB9-4A90-ADDB-A6750027745D}">
  <sheetPr codeName="Sheet17"/>
  <dimension ref="B2:C7"/>
  <sheetViews>
    <sheetView workbookViewId="0">
      <selection activeCell="B4" sqref="B4"/>
    </sheetView>
  </sheetViews>
  <sheetFormatPr defaultRowHeight="18.75"/>
  <cols>
    <col min="2" max="2" width="11" bestFit="1" customWidth="1"/>
  </cols>
  <sheetData>
    <row r="2" spans="2:3">
      <c r="B2" s="139" t="s">
        <v>169</v>
      </c>
      <c r="C2" s="139"/>
    </row>
    <row r="3" spans="2:3">
      <c r="B3" s="68" t="s">
        <v>170</v>
      </c>
      <c r="C3" s="68" t="s">
        <v>7</v>
      </c>
    </row>
    <row r="4" spans="2:3">
      <c r="B4" s="69" t="s">
        <v>171</v>
      </c>
      <c r="C4" s="69">
        <v>30000</v>
      </c>
    </row>
    <row r="5" spans="2:3">
      <c r="B5" s="69"/>
      <c r="C5" s="69"/>
    </row>
    <row r="6" spans="2:3">
      <c r="B6" s="69"/>
      <c r="C6" s="69" t="str">
        <f t="shared" ref="C6:C7" si="0">IF(B6="","",C5+1)</f>
        <v/>
      </c>
    </row>
    <row r="7" spans="2:3">
      <c r="B7" s="69"/>
      <c r="C7" s="69" t="str">
        <f t="shared" si="0"/>
        <v/>
      </c>
    </row>
  </sheetData>
  <mergeCells count="1">
    <mergeCell ref="B2:C2"/>
  </mergeCells>
  <phoneticPr fontId="17"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0EBE67-A665-436E-BFF2-0032EEABDDD2}">
  <sheetPr codeName="Sheet11"/>
  <dimension ref="B2:L5"/>
  <sheetViews>
    <sheetView workbookViewId="0">
      <selection activeCell="R13" sqref="R13:R14"/>
    </sheetView>
  </sheetViews>
  <sheetFormatPr defaultRowHeight="18.75"/>
  <cols>
    <col min="2" max="2" width="14.75" customWidth="1"/>
  </cols>
  <sheetData>
    <row r="2" spans="2:12">
      <c r="B2" s="20" t="s">
        <v>54</v>
      </c>
      <c r="C2" s="20" t="s">
        <v>55</v>
      </c>
      <c r="E2" s="22" t="s">
        <v>56</v>
      </c>
      <c r="F2" s="22" t="s">
        <v>57</v>
      </c>
      <c r="H2" s="23" t="s">
        <v>66</v>
      </c>
      <c r="I2" s="23" t="s">
        <v>55</v>
      </c>
      <c r="K2" s="24" t="s">
        <v>58</v>
      </c>
      <c r="L2" s="24" t="s">
        <v>55</v>
      </c>
    </row>
    <row r="3" spans="2:12">
      <c r="B3" s="21" t="s">
        <v>59</v>
      </c>
      <c r="C3" s="21">
        <v>0</v>
      </c>
      <c r="E3" s="21" t="s">
        <v>61</v>
      </c>
      <c r="F3" s="21">
        <v>0</v>
      </c>
      <c r="H3" s="21" t="s">
        <v>69</v>
      </c>
      <c r="I3" s="21">
        <v>0</v>
      </c>
      <c r="K3" s="21" t="s">
        <v>64</v>
      </c>
      <c r="L3" s="21">
        <v>0</v>
      </c>
    </row>
    <row r="4" spans="2:12">
      <c r="B4" s="21" t="s">
        <v>60</v>
      </c>
      <c r="C4" s="21">
        <f t="shared" ref="C4:C5" si="0">C3+1</f>
        <v>1</v>
      </c>
      <c r="E4" s="21" t="s">
        <v>62</v>
      </c>
      <c r="F4" s="21">
        <f>F3+1</f>
        <v>1</v>
      </c>
      <c r="H4" s="21" t="s">
        <v>70</v>
      </c>
      <c r="I4" s="21">
        <f>I3 + 1</f>
        <v>1</v>
      </c>
      <c r="K4" s="21" t="s">
        <v>65</v>
      </c>
      <c r="L4" s="21">
        <f>L3+ 1</f>
        <v>1</v>
      </c>
    </row>
    <row r="5" spans="2:12">
      <c r="B5" s="103" t="s">
        <v>295</v>
      </c>
      <c r="C5" s="103">
        <f t="shared" si="0"/>
        <v>2</v>
      </c>
      <c r="E5" s="21" t="s">
        <v>63</v>
      </c>
      <c r="F5" s="21">
        <f t="shared" ref="F5" si="1">F4+1</f>
        <v>2</v>
      </c>
    </row>
  </sheetData>
  <phoneticPr fontId="17"/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737004-960E-4F4A-85D2-B9D93B4EA8A4}">
  <sheetPr codeName="Sheet15"/>
  <dimension ref="D2:F3"/>
  <sheetViews>
    <sheetView tabSelected="1" zoomScaleNormal="100" workbookViewId="0">
      <selection activeCell="D3" sqref="D3"/>
    </sheetView>
  </sheetViews>
  <sheetFormatPr defaultRowHeight="18.75"/>
  <cols>
    <col min="2" max="2" width="10.625" customWidth="1"/>
    <col min="4" max="4" width="22.5" customWidth="1"/>
  </cols>
  <sheetData>
    <row r="2" spans="4:6">
      <c r="D2" s="65" t="s">
        <v>138</v>
      </c>
      <c r="E2" s="67" t="s">
        <v>166</v>
      </c>
      <c r="F2" s="67" t="s">
        <v>167</v>
      </c>
    </row>
    <row r="3" spans="4:6">
      <c r="D3" s="21" t="s">
        <v>316</v>
      </c>
      <c r="E3" s="21">
        <v>1</v>
      </c>
      <c r="F3" s="21">
        <v>2</v>
      </c>
    </row>
  </sheetData>
  <phoneticPr fontId="17"/>
  <dataValidations count="1">
    <dataValidation type="list" allowBlank="1" showInputMessage="1" showErrorMessage="1" sqref="D3" xr:uid="{91896835-50B5-4F8E-B9C6-DAA347282753}">
      <formula1>",PLStatus,PLMesh,PLMotionCollision,PLSkill,PLTransform,NPCMesh,NPCTransform,NPCText,EnmStatus,EnmMesh,EnmDrop,EnmMotionCollision,EnmTransform,ItemBase,DamageItemData,HealItemData,EquipmentData,SkillBase,AttackSkill,BuffSkill,EffectData,MusicData,SoundData,EventData,TerrainMesh"</formula1>
    </dataValidation>
  </dataValidations>
  <pageMargins left="0.7" right="0.7" top="0.75" bottom="0.75" header="0.3" footer="0.3"/>
  <pageSetup paperSize="9" orientation="portrait" horizontalDpi="4294967293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389" r:id="rId4" name="Button 5">
              <controlPr defaultSize="0" print="0" autoFill="0" autoPict="0" macro="[0]!MakeSheetsDropDown">
                <anchor moveWithCells="1" sizeWithCells="1">
                  <from>
                    <xdr:col>1</xdr:col>
                    <xdr:colOff>152400</xdr:colOff>
                    <xdr:row>1</xdr:row>
                    <xdr:rowOff>47625</xdr:rowOff>
                  </from>
                  <to>
                    <xdr:col>2</xdr:col>
                    <xdr:colOff>552450</xdr:colOff>
                    <xdr:row>2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90" r:id="rId5" name="Button 6">
              <controlPr defaultSize="0" print="0" autoFill="0" autoPict="0" macro="[0]!SelectSheetToCsv">
                <anchor moveWithCells="1" sizeWithCells="1">
                  <from>
                    <xdr:col>6</xdr:col>
                    <xdr:colOff>190500</xdr:colOff>
                    <xdr:row>1</xdr:row>
                    <xdr:rowOff>85725</xdr:rowOff>
                  </from>
                  <to>
                    <xdr:col>8</xdr:col>
                    <xdr:colOff>361950</xdr:colOff>
                    <xdr:row>4</xdr:row>
                    <xdr:rowOff>209550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30</vt:i4>
      </vt:variant>
      <vt:variant>
        <vt:lpstr>名前付き一覧</vt:lpstr>
      </vt:variant>
      <vt:variant>
        <vt:i4>39</vt:i4>
      </vt:variant>
    </vt:vector>
  </HeadingPairs>
  <TitlesOfParts>
    <vt:vector size="69" baseType="lpstr">
      <vt:lpstr>PLStatus</vt:lpstr>
      <vt:lpstr>PLMesh</vt:lpstr>
      <vt:lpstr>PLMotionCollision</vt:lpstr>
      <vt:lpstr>PLSkill</vt:lpstr>
      <vt:lpstr>PLTransform</vt:lpstr>
      <vt:lpstr>NPCMesh</vt:lpstr>
      <vt:lpstr>NPCTransform</vt:lpstr>
      <vt:lpstr>NPCText</vt:lpstr>
      <vt:lpstr>EnmStatus</vt:lpstr>
      <vt:lpstr>EnmMesh</vt:lpstr>
      <vt:lpstr>EnmDrop</vt:lpstr>
      <vt:lpstr>EnmMotionCollision</vt:lpstr>
      <vt:lpstr>EnmTransform</vt:lpstr>
      <vt:lpstr>ItemBase</vt:lpstr>
      <vt:lpstr>DamageItemData</vt:lpstr>
      <vt:lpstr>HealItemData</vt:lpstr>
      <vt:lpstr>EquipmentData</vt:lpstr>
      <vt:lpstr>SkillBase</vt:lpstr>
      <vt:lpstr>AttackSkill</vt:lpstr>
      <vt:lpstr>BuffSkill</vt:lpstr>
      <vt:lpstr>EffectData</vt:lpstr>
      <vt:lpstr>MusicData</vt:lpstr>
      <vt:lpstr>SoundData</vt:lpstr>
      <vt:lpstr>EventData</vt:lpstr>
      <vt:lpstr>Item_Reference</vt:lpstr>
      <vt:lpstr>Chara_Reference</vt:lpstr>
      <vt:lpstr>TerrainMesh</vt:lpstr>
      <vt:lpstr>Terrain_Reference</vt:lpstr>
      <vt:lpstr>Skill_Reference</vt:lpstr>
      <vt:lpstr>Output</vt:lpstr>
      <vt:lpstr>NPC名</vt:lpstr>
      <vt:lpstr>NPC名_ID</vt:lpstr>
      <vt:lpstr>アイテムタイプ名</vt:lpstr>
      <vt:lpstr>アイテムタイプ名_ID</vt:lpstr>
      <vt:lpstr>アイテム効果範囲名</vt:lpstr>
      <vt:lpstr>アイテム効果範囲名_ID</vt:lpstr>
      <vt:lpstr>アイテム効果量名</vt:lpstr>
      <vt:lpstr>アイテム効果量名_ID</vt:lpstr>
      <vt:lpstr>アイテム対象名</vt:lpstr>
      <vt:lpstr>アイテム対象名_ID</vt:lpstr>
      <vt:lpstr>アイテム名</vt:lpstr>
      <vt:lpstr>アイテム名_ID</vt:lpstr>
      <vt:lpstr>エフェクト名</vt:lpstr>
      <vt:lpstr>エフェクト名_ID</vt:lpstr>
      <vt:lpstr>サウンド名</vt:lpstr>
      <vt:lpstr>サウンド名_ID</vt:lpstr>
      <vt:lpstr>スキルタイプ名</vt:lpstr>
      <vt:lpstr>スキルタイプ名_ID</vt:lpstr>
      <vt:lpstr>スキル効果割合名</vt:lpstr>
      <vt:lpstr>スキル効果割合名_ID</vt:lpstr>
      <vt:lpstr>スキル対象数名</vt:lpstr>
      <vt:lpstr>スキル対象数名_ID</vt:lpstr>
      <vt:lpstr>スキル対象名</vt:lpstr>
      <vt:lpstr>スキル対象名_ID</vt:lpstr>
      <vt:lpstr>スキル名</vt:lpstr>
      <vt:lpstr>スキル名_ID</vt:lpstr>
      <vt:lpstr>プレイヤー名</vt:lpstr>
      <vt:lpstr>プレイヤー名_ID</vt:lpstr>
      <vt:lpstr>モーション名</vt:lpstr>
      <vt:lpstr>モーション名_ID</vt:lpstr>
      <vt:lpstr>装備可能名</vt:lpstr>
      <vt:lpstr>装備品種類名</vt:lpstr>
      <vt:lpstr>装備品種類名_ID</vt:lpstr>
      <vt:lpstr>地形名</vt:lpstr>
      <vt:lpstr>地形名_ID</vt:lpstr>
      <vt:lpstr>敵タイプ</vt:lpstr>
      <vt:lpstr>敵タイプ_ID</vt:lpstr>
      <vt:lpstr>敵名</vt:lpstr>
      <vt:lpstr>敵名_ID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しき太郎</dc:creator>
  <cp:lastModifiedBy>しき太郎</cp:lastModifiedBy>
  <dcterms:created xsi:type="dcterms:W3CDTF">2015-06-05T18:19:34Z</dcterms:created>
  <dcterms:modified xsi:type="dcterms:W3CDTF">2021-11-18T08:57:25Z</dcterms:modified>
</cp:coreProperties>
</file>