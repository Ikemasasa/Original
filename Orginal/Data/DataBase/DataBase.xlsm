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F4EB6C26-B63E-41D0-80B1-ADDDCAA5FE89}" xr6:coauthVersionLast="47" xr6:coauthVersionMax="47" xr10:uidLastSave="{00000000-0000-0000-0000-000000000000}"/>
  <bookViews>
    <workbookView xWindow="9900" yWindow="0" windowWidth="18870" windowHeight="13875" tabRatio="733" firstSheet="6" activeTab="6" xr2:uid="{00000000-000D-0000-FFFF-FFFF00000000}"/>
  </bookViews>
  <sheets>
    <sheet name="PLStatus" sheetId="2" r:id="rId1"/>
    <sheet name="PLMesh" sheetId="3" r:id="rId2"/>
    <sheet name="PLSkill" sheetId="20" r:id="rId3"/>
    <sheet name="PLTransform" sheetId="35" r:id="rId4"/>
    <sheet name="NPCMesh" sheetId="38" r:id="rId5"/>
    <sheet name="NPCTransform" sheetId="40" r:id="rId6"/>
    <sheet name="NPCText" sheetId="41" r:id="rId7"/>
    <sheet name="EnmStatus" sheetId="12" r:id="rId8"/>
    <sheet name="EnmMesh" sheetId="13" r:id="rId9"/>
    <sheet name="EnmDrop" sheetId="14" r:id="rId10"/>
    <sheet name="EnmTransform" sheetId="22" r:id="rId11"/>
    <sheet name="ItemBase" sheetId="23" r:id="rId12"/>
    <sheet name="DamageItemData" sheetId="24" r:id="rId13"/>
    <sheet name="HealItemData" sheetId="16" r:id="rId14"/>
    <sheet name="EquipmentData" sheetId="25" r:id="rId15"/>
    <sheet name="Item_Reference" sheetId="18" r:id="rId16"/>
    <sheet name="Chara_Reference" sheetId="19" r:id="rId17"/>
    <sheet name="TerrainMesh" sheetId="36" r:id="rId18"/>
    <sheet name="Terrain_Reference" sheetId="37" r:id="rId19"/>
    <sheet name="Skill_Reference" sheetId="21" r:id="rId20"/>
    <sheet name="Output" sheetId="27" r:id="rId21"/>
  </sheets>
  <externalReferences>
    <externalReference r:id="rId22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1" l="1"/>
  <c r="B7" i="41"/>
  <c r="B2" i="41"/>
  <c r="B3" i="40"/>
  <c r="B3" i="38"/>
  <c r="D3" i="38"/>
  <c r="D2" i="38"/>
  <c r="B2" i="38"/>
  <c r="D4" i="14"/>
  <c r="D2" i="36"/>
  <c r="B2" i="36"/>
  <c r="C7" i="37"/>
  <c r="C6" i="37"/>
  <c r="J3" i="35"/>
  <c r="B4" i="35"/>
  <c r="B3" i="35"/>
  <c r="J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J4" i="22"/>
  <c r="J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8" i="3"/>
  <c r="D9" i="3"/>
  <c r="D10" i="3"/>
  <c r="D11" i="3"/>
  <c r="D12" i="3"/>
  <c r="D13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4" i="13"/>
  <c r="B2" i="14"/>
  <c r="D8" i="13"/>
  <c r="D9" i="13"/>
  <c r="D2" i="13"/>
  <c r="B3" i="13"/>
  <c r="B4" i="13"/>
  <c r="B5" i="13"/>
  <c r="B6" i="13"/>
  <c r="B7" i="13"/>
  <c r="B8" i="13"/>
  <c r="B9" i="13"/>
  <c r="B11" i="13"/>
  <c r="B2" i="13"/>
  <c r="D2" i="3"/>
  <c r="B3" i="3"/>
  <c r="B4" i="3"/>
  <c r="B5" i="3"/>
  <c r="B7" i="3"/>
  <c r="B9" i="3"/>
  <c r="B11" i="3"/>
  <c r="B12" i="3"/>
  <c r="B2" i="3"/>
  <c r="B3" i="2"/>
  <c r="B2" i="2"/>
  <c r="C19" i="19"/>
  <c r="C18" i="19"/>
  <c r="F17" i="19"/>
  <c r="B3" i="14" s="1"/>
  <c r="C17" i="19"/>
  <c r="B13" i="3" s="1"/>
  <c r="B7" i="23" l="1"/>
  <c r="F5" i="18"/>
  <c r="B3" i="16"/>
  <c r="D3" i="14"/>
  <c r="D10" i="13"/>
  <c r="B10" i="13"/>
  <c r="D11" i="13"/>
  <c r="B10" i="3"/>
  <c r="B8" i="3"/>
  <c r="D6" i="13"/>
  <c r="D4" i="3"/>
  <c r="D3" i="3"/>
  <c r="D4" i="13"/>
  <c r="F18" i="19"/>
  <c r="B3" i="12"/>
  <c r="B13" i="13"/>
  <c r="D3" i="13"/>
  <c r="D16" i="13"/>
  <c r="B12" i="13"/>
  <c r="D15" i="13"/>
  <c r="F6" i="18" l="1"/>
  <c r="D5" i="23"/>
  <c r="B16" i="13"/>
  <c r="B17" i="13"/>
  <c r="B4" i="12"/>
  <c r="B14" i="13"/>
  <c r="B15" i="13"/>
  <c r="D7" i="23" l="1"/>
  <c r="D6" i="23"/>
  <c r="D12" i="13"/>
  <c r="D17" i="13"/>
  <c r="D5" i="13"/>
  <c r="D5" i="3"/>
  <c r="D7" i="13" l="1"/>
  <c r="D13" i="13"/>
  <c r="D7" i="3" l="1"/>
</calcChain>
</file>

<file path=xl/sharedStrings.xml><?xml version="1.0" encoding="utf-8"?>
<sst xmlns="http://schemas.openxmlformats.org/spreadsheetml/2006/main" count="426" uniqueCount="217">
  <si>
    <t>#AGI</t>
    <phoneticPr fontId="16"/>
  </si>
  <si>
    <t>#VIT</t>
    <phoneticPr fontId="16"/>
  </si>
  <si>
    <t>#STR</t>
    <phoneticPr fontId="16"/>
  </si>
  <si>
    <t>#MP</t>
    <phoneticPr fontId="16"/>
  </si>
  <si>
    <t>#HP</t>
    <phoneticPr fontId="16"/>
  </si>
  <si>
    <t>#名前</t>
    <rPh sb="1" eb="3">
      <t>ナマエ</t>
    </rPh>
    <phoneticPr fontId="16"/>
  </si>
  <si>
    <t>#名前ID</t>
    <rPh sb="1" eb="3">
      <t>ナマエ</t>
    </rPh>
    <phoneticPr fontId="16"/>
  </si>
  <si>
    <t>ID</t>
    <phoneticPr fontId="16"/>
  </si>
  <si>
    <t>種類</t>
    <rPh sb="0" eb="2">
      <t>シュルイ</t>
    </rPh>
    <phoneticPr fontId="16"/>
  </si>
  <si>
    <t>名前</t>
    <rPh sb="0" eb="2">
      <t>ナマエ</t>
    </rPh>
    <phoneticPr fontId="16"/>
  </si>
  <si>
    <r>
      <t>I</t>
    </r>
    <r>
      <rPr>
        <sz val="11"/>
        <color theme="1"/>
        <rFont val="Yu Gothic"/>
        <family val="2"/>
        <scheme val="minor"/>
      </rPr>
      <t>D</t>
    </r>
    <phoneticPr fontId="16"/>
  </si>
  <si>
    <t>モーション種類</t>
    <rPh sb="5" eb="7">
      <t>シュルイ</t>
    </rPh>
    <phoneticPr fontId="16"/>
  </si>
  <si>
    <t>キャラ種類</t>
    <rPh sb="3" eb="5">
      <t>シュルイ</t>
    </rPh>
    <phoneticPr fontId="16"/>
  </si>
  <si>
    <t>モンスターA</t>
  </si>
  <si>
    <t>モンスターB</t>
  </si>
  <si>
    <t>MonsterA/MonsterA.fbx</t>
    <phoneticPr fontId="16"/>
  </si>
  <si>
    <t>MonsterA/Idle.fbx</t>
    <phoneticPr fontId="16"/>
  </si>
  <si>
    <t>MonsterA/Run.fbx</t>
    <phoneticPr fontId="16"/>
  </si>
  <si>
    <t>MonsterA/Attack.fbx</t>
    <phoneticPr fontId="16"/>
  </si>
  <si>
    <t>MonsterA/Walk.fbx</t>
    <phoneticPr fontId="16"/>
  </si>
  <si>
    <t>MonsterA/Die.fbx</t>
    <phoneticPr fontId="16"/>
  </si>
  <si>
    <t>MonsterB/MonsterB.fbx</t>
    <phoneticPr fontId="16"/>
  </si>
  <si>
    <t>MonsterB/Idle.fbx</t>
    <phoneticPr fontId="16"/>
  </si>
  <si>
    <t>MonsterB/Walk.fbx</t>
    <phoneticPr fontId="16"/>
  </si>
  <si>
    <t>MonsterB/Run.fbx</t>
    <phoneticPr fontId="16"/>
  </si>
  <si>
    <t>MonsterB/Attack.fbx</t>
    <phoneticPr fontId="16"/>
  </si>
  <si>
    <t>MonsterB/Die.fbx</t>
  </si>
  <si>
    <t>#ドロップ1</t>
    <phoneticPr fontId="16"/>
  </si>
  <si>
    <t>#ドロップ1ID</t>
    <phoneticPr fontId="16"/>
  </si>
  <si>
    <t>#ドロップ率(%)</t>
    <rPh sb="5" eb="6">
      <t>リツ</t>
    </rPh>
    <phoneticPr fontId="16"/>
  </si>
  <si>
    <t>#ドロップ2</t>
    <phoneticPr fontId="16"/>
  </si>
  <si>
    <t>#ドロップ2ID</t>
    <phoneticPr fontId="16"/>
  </si>
  <si>
    <t>#ドロップ3</t>
    <phoneticPr fontId="16"/>
  </si>
  <si>
    <t>#ドロップ3ID</t>
    <phoneticPr fontId="16"/>
  </si>
  <si>
    <t>敵種類</t>
    <rPh sb="0" eb="3">
      <t>テキシュルイ</t>
    </rPh>
    <phoneticPr fontId="16"/>
  </si>
  <si>
    <t>モンスターA</t>
    <phoneticPr fontId="16"/>
  </si>
  <si>
    <t>モンスターB</t>
    <phoneticPr fontId="16"/>
  </si>
  <si>
    <t>#アイテム名</t>
    <phoneticPr fontId="16"/>
  </si>
  <si>
    <t>potion.png</t>
    <phoneticPr fontId="16"/>
  </si>
  <si>
    <t>magic_potion.png</t>
    <phoneticPr fontId="16"/>
  </si>
  <si>
    <t>bomb.png</t>
    <phoneticPr fontId="16"/>
  </si>
  <si>
    <t>#ダメージ</t>
  </si>
  <si>
    <t>o</t>
  </si>
  <si>
    <t>#防具</t>
    <rPh sb="1" eb="3">
      <t>ボウグ</t>
    </rPh>
    <phoneticPr fontId="16"/>
  </si>
  <si>
    <t>beginners_armor.png</t>
    <phoneticPr fontId="16"/>
  </si>
  <si>
    <t>o</t>
    <phoneticPr fontId="16"/>
  </si>
  <si>
    <t>beginners_sword.png</t>
    <phoneticPr fontId="16"/>
  </si>
  <si>
    <t>#素早さ</t>
    <rPh sb="1" eb="3">
      <t>スバヤ</t>
    </rPh>
    <phoneticPr fontId="16"/>
  </si>
  <si>
    <t>#防御力</t>
    <rPh sb="1" eb="3">
      <t>ボウギョ</t>
    </rPh>
    <rPh sb="3" eb="4">
      <t>リョク</t>
    </rPh>
    <phoneticPr fontId="16"/>
  </si>
  <si>
    <t>#攻撃力</t>
    <rPh sb="1" eb="3">
      <t>コウゲキ</t>
    </rPh>
    <rPh sb="3" eb="4">
      <t>リョク</t>
    </rPh>
    <phoneticPr fontId="16"/>
  </si>
  <si>
    <t>#装備種類ID</t>
    <rPh sb="1" eb="5">
      <t>ソウビシュルイ</t>
    </rPh>
    <phoneticPr fontId="16"/>
  </si>
  <si>
    <t>#装備種類</t>
    <rPh sb="1" eb="5">
      <t>ソウビシュルイ</t>
    </rPh>
    <phoneticPr fontId="16"/>
  </si>
  <si>
    <t>#アイコンファイル名</t>
    <rPh sb="9" eb="10">
      <t>メイ</t>
    </rPh>
    <phoneticPr fontId="16"/>
  </si>
  <si>
    <t>#アイテム名ID</t>
    <phoneticPr fontId="16"/>
  </si>
  <si>
    <t>回復薬</t>
    <rPh sb="0" eb="3">
      <t>カイフクヤク</t>
    </rPh>
    <phoneticPr fontId="15"/>
  </si>
  <si>
    <t>魔法薬</t>
    <rPh sb="0" eb="3">
      <t>マホウヤク</t>
    </rPh>
    <phoneticPr fontId="15"/>
  </si>
  <si>
    <t>爆弾</t>
    <rPh sb="0" eb="2">
      <t>バクダン</t>
    </rPh>
    <phoneticPr fontId="15"/>
  </si>
  <si>
    <t>初心者用の剣</t>
    <phoneticPr fontId="15"/>
  </si>
  <si>
    <t>初心者用の鎧</t>
    <phoneticPr fontId="15"/>
  </si>
  <si>
    <t>ボスモンスター</t>
  </si>
  <si>
    <t>ボスモンスター</t>
    <phoneticPr fontId="16"/>
  </si>
  <si>
    <t>BossMonster/BossMonster.fbx</t>
    <phoneticPr fontId="15"/>
  </si>
  <si>
    <t>BossMonster/Run.fbx</t>
    <phoneticPr fontId="15"/>
  </si>
  <si>
    <t>BossMonster/Attack.fbx</t>
    <phoneticPr fontId="15"/>
  </si>
  <si>
    <t>#タイプ</t>
    <phoneticPr fontId="15"/>
  </si>
  <si>
    <t>#タイプID</t>
    <phoneticPr fontId="15"/>
  </si>
  <si>
    <t>敵タイプ</t>
    <rPh sb="0" eb="1">
      <t>テキ</t>
    </rPh>
    <phoneticPr fontId="15"/>
  </si>
  <si>
    <t>BossMonster/Idle.fbx</t>
    <phoneticPr fontId="15"/>
  </si>
  <si>
    <t>#スキル名</t>
    <rPh sb="4" eb="5">
      <t>メイ</t>
    </rPh>
    <phoneticPr fontId="15"/>
  </si>
  <si>
    <t>#スキルID</t>
    <phoneticPr fontId="15"/>
  </si>
  <si>
    <t>タイプ</t>
    <phoneticPr fontId="15"/>
  </si>
  <si>
    <t>ID</t>
    <phoneticPr fontId="15"/>
  </si>
  <si>
    <t>対象</t>
    <rPh sb="0" eb="2">
      <t>タイショウ</t>
    </rPh>
    <phoneticPr fontId="15"/>
  </si>
  <si>
    <t xml:space="preserve">ID </t>
    <phoneticPr fontId="15"/>
  </si>
  <si>
    <t>効果割合</t>
    <rPh sb="0" eb="4">
      <t>コウカワリアイ</t>
    </rPh>
    <phoneticPr fontId="15"/>
  </si>
  <si>
    <t>#バフ</t>
  </si>
  <si>
    <t>#バフ</t>
    <phoneticPr fontId="15"/>
  </si>
  <si>
    <t>#デバフ</t>
    <phoneticPr fontId="15"/>
  </si>
  <si>
    <t>#なし</t>
    <phoneticPr fontId="15"/>
  </si>
  <si>
    <t>#味方</t>
    <rPh sb="1" eb="3">
      <t>ミカタ</t>
    </rPh>
    <phoneticPr fontId="15"/>
  </si>
  <si>
    <t>#敵</t>
    <rPh sb="1" eb="2">
      <t>テキ</t>
    </rPh>
    <phoneticPr fontId="15"/>
  </si>
  <si>
    <t>#固定値</t>
    <rPh sb="1" eb="4">
      <t>コテイチ</t>
    </rPh>
    <phoneticPr fontId="15"/>
  </si>
  <si>
    <t>#割合</t>
    <rPh sb="1" eb="3">
      <t>ワリアイ</t>
    </rPh>
    <phoneticPr fontId="15"/>
  </si>
  <si>
    <t>対象数</t>
    <rPh sb="0" eb="3">
      <t>タイショウスウ</t>
    </rPh>
    <phoneticPr fontId="15"/>
  </si>
  <si>
    <t>攻撃力アップ</t>
    <rPh sb="0" eb="3">
      <t>コウゲキリョク</t>
    </rPh>
    <phoneticPr fontId="15"/>
  </si>
  <si>
    <t>#消費MP</t>
    <rPh sb="1" eb="3">
      <t>ショウヒ</t>
    </rPh>
    <phoneticPr fontId="15"/>
  </si>
  <si>
    <t>#単体</t>
    <rPh sb="1" eb="3">
      <t>タンタイ</t>
    </rPh>
    <phoneticPr fontId="15"/>
  </si>
  <si>
    <t>#全体</t>
    <rPh sb="1" eb="3">
      <t>ゼンタイ</t>
    </rPh>
    <phoneticPr fontId="15"/>
  </si>
  <si>
    <t>#対象</t>
    <rPh sb="1" eb="3">
      <t>タイショウ</t>
    </rPh>
    <phoneticPr fontId="15"/>
  </si>
  <si>
    <t>#対象ID</t>
    <rPh sb="1" eb="3">
      <t>タイショウ</t>
    </rPh>
    <phoneticPr fontId="15"/>
  </si>
  <si>
    <t>#対象数</t>
    <rPh sb="1" eb="4">
      <t>タイショウスウ</t>
    </rPh>
    <phoneticPr fontId="15"/>
  </si>
  <si>
    <t>#対象数ID</t>
    <rPh sb="1" eb="4">
      <t>タイショウスウ</t>
    </rPh>
    <phoneticPr fontId="15"/>
  </si>
  <si>
    <t>#ターン</t>
    <phoneticPr fontId="15"/>
  </si>
  <si>
    <t>#効果割合</t>
    <rPh sb="1" eb="5">
      <t>コウカワリアイ</t>
    </rPh>
    <phoneticPr fontId="15"/>
  </si>
  <si>
    <t>#効果割合ID</t>
    <rPh sb="1" eb="5">
      <t>コウカワリアイ</t>
    </rPh>
    <phoneticPr fontId="15"/>
  </si>
  <si>
    <t>#攻撃効果量</t>
    <rPh sb="1" eb="3">
      <t>コウゲキ</t>
    </rPh>
    <rPh sb="3" eb="6">
      <t>コウカリョウ</t>
    </rPh>
    <phoneticPr fontId="15"/>
  </si>
  <si>
    <t>#防御効果量</t>
    <rPh sb="1" eb="3">
      <t>ボウギョ</t>
    </rPh>
    <phoneticPr fontId="15"/>
  </si>
  <si>
    <t>#プレイヤー名</t>
    <rPh sb="6" eb="7">
      <t>メイ</t>
    </rPh>
    <phoneticPr fontId="15"/>
  </si>
  <si>
    <t>#プレイヤーID</t>
    <phoneticPr fontId="15"/>
  </si>
  <si>
    <t>#スキル情報</t>
    <rPh sb="4" eb="6">
      <t>ジョウホウ</t>
    </rPh>
    <phoneticPr fontId="15"/>
  </si>
  <si>
    <t>パラディン</t>
  </si>
  <si>
    <t>パラディン</t>
    <phoneticPr fontId="16"/>
  </si>
  <si>
    <t>エリカ</t>
  </si>
  <si>
    <t>エリカ</t>
    <phoneticPr fontId="16"/>
  </si>
  <si>
    <t>Erika/idle.fbx</t>
    <phoneticPr fontId="16"/>
  </si>
  <si>
    <t>Erika/run.fbx</t>
    <phoneticPr fontId="16"/>
  </si>
  <si>
    <t>Erika/00_erika.fbx</t>
    <phoneticPr fontId="16"/>
  </si>
  <si>
    <t>Erika/attack.fbx</t>
    <phoneticPr fontId="16"/>
  </si>
  <si>
    <t>Erika/guard.fbx</t>
    <phoneticPr fontId="15"/>
  </si>
  <si>
    <t>Erika/use_item.fbx</t>
    <phoneticPr fontId="16"/>
  </si>
  <si>
    <t>Paladin/00_paladin.fbx</t>
    <phoneticPr fontId="16"/>
  </si>
  <si>
    <t>Paladin/idle.fbx</t>
    <phoneticPr fontId="16"/>
  </si>
  <si>
    <t>Paladin/run.fbx</t>
    <phoneticPr fontId="16"/>
  </si>
  <si>
    <t>Paladin/attack.fbx</t>
    <phoneticPr fontId="16"/>
  </si>
  <si>
    <t>Paladin/guard.fbx</t>
    <phoneticPr fontId="16"/>
  </si>
  <si>
    <t>Paladin/use_item.fbx</t>
    <phoneticPr fontId="16"/>
  </si>
  <si>
    <t>#名前</t>
    <rPh sb="1" eb="3">
      <t>ナマエ</t>
    </rPh>
    <phoneticPr fontId="15"/>
  </si>
  <si>
    <t>#ID</t>
    <phoneticPr fontId="15"/>
  </si>
  <si>
    <t>#座標</t>
    <rPh sb="1" eb="3">
      <t>ザヒョウ</t>
    </rPh>
    <phoneticPr fontId="15"/>
  </si>
  <si>
    <t>#X</t>
    <phoneticPr fontId="15"/>
  </si>
  <si>
    <t>#Y</t>
    <phoneticPr fontId="15"/>
  </si>
  <si>
    <t>#Z</t>
    <phoneticPr fontId="15"/>
  </si>
  <si>
    <t>#スケール</t>
    <phoneticPr fontId="15"/>
  </si>
  <si>
    <t>#回転</t>
    <rPh sb="1" eb="3">
      <t>カイテン</t>
    </rPh>
    <phoneticPr fontId="15"/>
  </si>
  <si>
    <t>#デバフ</t>
  </si>
  <si>
    <t>防御力ダウン</t>
    <rPh sb="0" eb="2">
      <t>ボウギョ</t>
    </rPh>
    <rPh sb="2" eb="3">
      <t>リョク</t>
    </rPh>
    <phoneticPr fontId="15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</si>
  <si>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5"/>
  </si>
  <si>
    <t>討伐の証</t>
    <rPh sb="0" eb="2">
      <t>トウバツ</t>
    </rPh>
    <rPh sb="3" eb="4">
      <t>アカシ</t>
    </rPh>
    <phoneticPr fontId="15"/>
  </si>
  <si>
    <t>#タイプ</t>
    <phoneticPr fontId="16"/>
  </si>
  <si>
    <t>#タイプID</t>
    <phoneticPr fontId="16"/>
  </si>
  <si>
    <t>#装備系</t>
    <rPh sb="1" eb="4">
      <t>ソウビケイ</t>
    </rPh>
    <phoneticPr fontId="15"/>
  </si>
  <si>
    <t>#フィールド使用系</t>
    <rPh sb="6" eb="9">
      <t>シヨウケイ</t>
    </rPh>
    <phoneticPr fontId="15"/>
  </si>
  <si>
    <t>初心者用の剣</t>
  </si>
  <si>
    <t>初心者用の鎧</t>
  </si>
  <si>
    <t>#アイテムタイプ</t>
    <phoneticPr fontId="15"/>
  </si>
  <si>
    <t>#回復</t>
    <rPh sb="1" eb="3">
      <t>カイフク</t>
    </rPh>
    <phoneticPr fontId="15"/>
  </si>
  <si>
    <t>#フィールド使用</t>
    <rPh sb="6" eb="8">
      <t>シヨウ</t>
    </rPh>
    <phoneticPr fontId="15"/>
  </si>
  <si>
    <t>#装備</t>
    <rPh sb="1" eb="3">
      <t>ソウビ</t>
    </rPh>
    <phoneticPr fontId="15"/>
  </si>
  <si>
    <t>#ダメージ</t>
    <phoneticPr fontId="15"/>
  </si>
  <si>
    <t>subdue_proof.png</t>
    <phoneticPr fontId="15"/>
  </si>
  <si>
    <t>#情報</t>
    <rPh sb="1" eb="3">
      <t>ジョウホウ</t>
    </rPh>
    <phoneticPr fontId="15"/>
  </si>
  <si>
    <t>HPを15回復する</t>
    <rPh sb="5" eb="7">
      <t>カイフク</t>
    </rPh>
    <phoneticPr fontId="15"/>
  </si>
  <si>
    <t>MPを5回復する</t>
    <rPh sb="4" eb="6">
      <t>カイフク</t>
    </rPh>
    <phoneticPr fontId="15"/>
  </si>
  <si>
    <t>敵にダメージを与える</t>
    <rPh sb="0" eb="1">
      <t>テキ</t>
    </rPh>
    <rPh sb="7" eb="8">
      <t>アタ</t>
    </rPh>
    <phoneticPr fontId="15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</si>
  <si>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5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</si>
  <si>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5"/>
  </si>
  <si>
    <t>文字通り、初心者用の鎧</t>
    <rPh sb="10" eb="11">
      <t>ヨロイ</t>
    </rPh>
    <phoneticPr fontId="15"/>
  </si>
  <si>
    <t>#効果範囲</t>
    <rPh sb="1" eb="5">
      <t>コウカハンイ</t>
    </rPh>
    <phoneticPr fontId="15"/>
  </si>
  <si>
    <t>#グループ</t>
    <phoneticPr fontId="15"/>
  </si>
  <si>
    <t>#割合値</t>
    <rPh sb="1" eb="4">
      <t>ワリアイチ</t>
    </rPh>
    <phoneticPr fontId="15"/>
  </si>
  <si>
    <t>#効果量</t>
    <rPh sb="1" eb="3">
      <t>コウカ</t>
    </rPh>
    <rPh sb="3" eb="4">
      <t>リョウ</t>
    </rPh>
    <phoneticPr fontId="15"/>
  </si>
  <si>
    <t>#HPダメージ量</t>
    <rPh sb="7" eb="8">
      <t>リョウ</t>
    </rPh>
    <phoneticPr fontId="15"/>
  </si>
  <si>
    <t>#MPダメージ量</t>
    <phoneticPr fontId="15"/>
  </si>
  <si>
    <t>#HP回復量</t>
    <rPh sb="3" eb="6">
      <t>カイフクリョウ</t>
    </rPh>
    <phoneticPr fontId="15"/>
  </si>
  <si>
    <t>#MP回復量</t>
    <phoneticPr fontId="15"/>
  </si>
  <si>
    <t>#装備品種類</t>
    <rPh sb="1" eb="4">
      <t>ソウビヒン</t>
    </rPh>
    <rPh sb="4" eb="6">
      <t>シュルイ</t>
    </rPh>
    <phoneticPr fontId="15"/>
  </si>
  <si>
    <t>#武器</t>
    <rPh sb="1" eb="3">
      <t>ブキ</t>
    </rPh>
    <phoneticPr fontId="15"/>
  </si>
  <si>
    <t>#防具</t>
    <rPh sb="1" eb="3">
      <t>ボウグ</t>
    </rPh>
    <phoneticPr fontId="15"/>
  </si>
  <si>
    <t>#装備可能</t>
    <rPh sb="1" eb="5">
      <t>ソウビカノウ</t>
    </rPh>
    <phoneticPr fontId="15"/>
  </si>
  <si>
    <t>o</t>
    <phoneticPr fontId="15"/>
  </si>
  <si>
    <t>x</t>
    <phoneticPr fontId="15"/>
  </si>
  <si>
    <t>#エリカ</t>
    <phoneticPr fontId="15"/>
  </si>
  <si>
    <t>#パラディン</t>
    <phoneticPr fontId="15"/>
  </si>
  <si>
    <t>csv出力するシート</t>
    <rPh sb="3" eb="5">
      <t>シュツリョク</t>
    </rPh>
    <phoneticPr fontId="15"/>
  </si>
  <si>
    <t>#ID</t>
    <phoneticPr fontId="16"/>
  </si>
  <si>
    <t>#種類</t>
    <rPh sb="1" eb="3">
      <t>シュルイ</t>
    </rPh>
    <phoneticPr fontId="16"/>
  </si>
  <si>
    <t>#ファイル名</t>
    <rPh sb="5" eb="6">
      <t>メイ</t>
    </rPh>
    <phoneticPr fontId="16"/>
  </si>
  <si>
    <t>#MOB</t>
  </si>
  <si>
    <t>#MOB</t>
    <phoneticPr fontId="16"/>
  </si>
  <si>
    <t>#BOSS</t>
  </si>
  <si>
    <t>#BOSS</t>
    <phoneticPr fontId="16"/>
  </si>
  <si>
    <t>#DEFAULT</t>
  </si>
  <si>
    <t>#DEFAULT</t>
    <phoneticPr fontId="16"/>
  </si>
  <si>
    <t>#IDLE</t>
  </si>
  <si>
    <t>#IDLE</t>
    <phoneticPr fontId="16"/>
  </si>
  <si>
    <t>#WALK</t>
  </si>
  <si>
    <t>#WALK</t>
    <phoneticPr fontId="16"/>
  </si>
  <si>
    <t>#RUN</t>
  </si>
  <si>
    <t>#RUN</t>
    <phoneticPr fontId="16"/>
  </si>
  <si>
    <t>#ATTACK</t>
  </si>
  <si>
    <t>#ATTACK</t>
    <phoneticPr fontId="16"/>
  </si>
  <si>
    <t>#GUARD</t>
  </si>
  <si>
    <t>#GUARD</t>
    <phoneticPr fontId="15"/>
  </si>
  <si>
    <t>#DIE</t>
  </si>
  <si>
    <t>#DIE</t>
    <phoneticPr fontId="16"/>
  </si>
  <si>
    <t>#DAMAGE</t>
    <phoneticPr fontId="16"/>
  </si>
  <si>
    <t>#USEITEM</t>
  </si>
  <si>
    <t>#USEITEM</t>
    <phoneticPr fontId="16"/>
  </si>
  <si>
    <t>#UNIQUE1</t>
    <phoneticPr fontId="16"/>
  </si>
  <si>
    <t>#UNIQUE2</t>
    <phoneticPr fontId="16"/>
  </si>
  <si>
    <t>#UNIQUE3</t>
    <phoneticPr fontId="15"/>
  </si>
  <si>
    <t>敵の守備力を3ターンの間下げる</t>
    <rPh sb="0" eb="1">
      <t>テキ</t>
    </rPh>
    <rPh sb="2" eb="5">
      <t>シュビリョク</t>
    </rPh>
    <rPh sb="12" eb="13">
      <t>サ</t>
    </rPh>
    <phoneticPr fontId="15"/>
  </si>
  <si>
    <t>開始X</t>
    <rPh sb="0" eb="2">
      <t>カイシ</t>
    </rPh>
    <phoneticPr fontId="15"/>
  </si>
  <si>
    <t xml:space="preserve">開始Y </t>
    <rPh sb="0" eb="2">
      <t>カイシ</t>
    </rPh>
    <phoneticPr fontId="15"/>
  </si>
  <si>
    <t>#座標</t>
    <phoneticPr fontId="15"/>
  </si>
  <si>
    <t>地形種類</t>
    <rPh sb="0" eb="2">
      <t>チケイ</t>
    </rPh>
    <rPh sb="2" eb="4">
      <t>シュルイ</t>
    </rPh>
    <phoneticPr fontId="16"/>
  </si>
  <si>
    <t>名称</t>
    <rPh sb="0" eb="2">
      <t>メイショウ</t>
    </rPh>
    <phoneticPr fontId="16"/>
  </si>
  <si>
    <t>遺跡</t>
    <rPh sb="0" eb="2">
      <t>イセキ</t>
    </rPh>
    <phoneticPr fontId="16"/>
  </si>
  <si>
    <t>FieldTerrain/FieldTerrain.fbx</t>
    <phoneticPr fontId="16"/>
  </si>
  <si>
    <t>NPC種類</t>
    <rPh sb="3" eb="5">
      <t>シュルイ</t>
    </rPh>
    <phoneticPr fontId="15"/>
  </si>
  <si>
    <t>名前</t>
    <rPh sb="0" eb="2">
      <t>ナマエ</t>
    </rPh>
    <phoneticPr fontId="15"/>
  </si>
  <si>
    <t>アリッサ</t>
  </si>
  <si>
    <t>アリッサ</t>
    <phoneticPr fontId="15"/>
  </si>
  <si>
    <t>Arissa/00_arissa.fbx</t>
    <phoneticPr fontId="15"/>
  </si>
  <si>
    <t>Arissa/idle.fbx</t>
    <phoneticPr fontId="15"/>
  </si>
  <si>
    <t>#何回目</t>
    <rPh sb="1" eb="4">
      <t>ナンカイメ</t>
    </rPh>
    <phoneticPr fontId="15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</si>
  <si>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5"/>
  </si>
  <si>
    <t>よろしく頼む。</t>
    <rPh sb="4" eb="5">
      <t>タノ</t>
    </rPh>
    <phoneticPr fontId="15"/>
  </si>
  <si>
    <t>#フラグ</t>
    <phoneticPr fontId="15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</si>
  <si>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5"/>
  </si>
  <si>
    <t>大事に使ってくれよ、それじゃあな。</t>
    <rPh sb="0" eb="2">
      <t>ダイジ</t>
    </rPh>
    <rPh sb="3" eb="4">
      <t>ツカ</t>
    </rPh>
    <phoneticPr fontId="15"/>
  </si>
  <si>
    <t>#テキスト数(行数)</t>
    <rPh sb="5" eb="6">
      <t>スウ</t>
    </rPh>
    <rPh sb="7" eb="9">
      <t>ギョウスウ</t>
    </rPh>
    <phoneticPr fontId="15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</si>
  <si>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5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</si>
  <si>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5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</si>
  <si>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5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</si>
  <si>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5"/>
  </si>
  <si>
    <t>NPCTransform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</si>
</sst>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1" applyNumberFormat="0" applyAlignment="0" applyProtection="0">
      <alignment vertical="center"/>
    </xf>
    <xf numFmtId="0" fontId="14" fillId="6" borderId="2" applyNumberForma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7" borderId="3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</cellStyleXfs>
  <cellXfs count="124">
    <xf numFmtId="0" fontId="0" fillId="0" borderId="0" xfId="0"/>
    <xf numFmtId="0" fontId="9" fillId="0" borderId="0" xfId="10">
      <alignment vertical="center"/>
    </xf>
    <xf numFmtId="0" fontId="9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9" fillId="4" borderId="2" xfId="3" applyFont="1" applyBorder="1" applyAlignment="1">
      <alignment horizontal="center" vertical="center"/>
    </xf>
    <xf numFmtId="0" fontId="19" fillId="4" borderId="4" xfId="3" applyFont="1" applyBorder="1" applyAlignment="1">
      <alignment horizontal="center" vertical="center"/>
    </xf>
    <xf numFmtId="0" fontId="9" fillId="8" borderId="4" xfId="6" applyBorder="1" applyAlignment="1">
      <alignment horizontal="center" vertical="center"/>
    </xf>
    <xf numFmtId="0" fontId="9" fillId="9" borderId="4" xfId="7" applyBorder="1" applyAlignment="1">
      <alignment horizontal="center" vertical="center"/>
    </xf>
    <xf numFmtId="0" fontId="9" fillId="11" borderId="4" xfId="9" applyBorder="1" applyAlignment="1">
      <alignment horizontal="center" vertical="center"/>
    </xf>
    <xf numFmtId="0" fontId="9" fillId="0" borderId="4" xfId="10" applyBorder="1">
      <alignment vertical="center"/>
    </xf>
    <xf numFmtId="0" fontId="18" fillId="14" borderId="2" xfId="5" applyFont="1" applyFill="1" applyAlignment="1">
      <alignment horizontal="center" vertical="center"/>
    </xf>
    <xf numFmtId="0" fontId="9" fillId="14" borderId="0" xfId="10" applyFill="1" applyAlignment="1">
      <alignment horizontal="center" vertical="center"/>
    </xf>
    <xf numFmtId="0" fontId="9" fillId="0" borderId="0" xfId="10" applyAlignment="1">
      <alignment horizontal="center" vertical="center"/>
    </xf>
    <xf numFmtId="0" fontId="9" fillId="0" borderId="4" xfId="10" applyBorder="1" applyAlignment="1">
      <alignment horizontal="left" vertical="center"/>
    </xf>
    <xf numFmtId="0" fontId="9" fillId="0" borderId="4" xfId="10" applyBorder="1" applyAlignment="1">
      <alignment horizontal="center" vertical="center"/>
    </xf>
    <xf numFmtId="0" fontId="9" fillId="10" borderId="0" xfId="8" applyBorder="1" applyAlignment="1">
      <alignment horizontal="center" vertical="center"/>
    </xf>
    <xf numFmtId="0" fontId="8" fillId="21" borderId="2" xfId="12" applyBorder="1">
      <alignment vertical="center"/>
    </xf>
    <xf numFmtId="0" fontId="8" fillId="0" borderId="4" xfId="10" applyFont="1" applyBorder="1" applyAlignment="1">
      <alignment horizontal="left" vertical="center"/>
    </xf>
    <xf numFmtId="0" fontId="18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3" fillId="16" borderId="4" xfId="10" applyFont="1" applyFill="1" applyBorder="1" applyAlignment="1">
      <alignment horizontal="center" vertical="center"/>
    </xf>
    <xf numFmtId="0" fontId="3" fillId="14" borderId="4" xfId="10" applyFont="1" applyFill="1" applyBorder="1" applyAlignment="1">
      <alignment horizontal="center" vertical="center"/>
    </xf>
    <xf numFmtId="0" fontId="3" fillId="29" borderId="4" xfId="10" applyFont="1" applyFill="1" applyBorder="1" applyAlignment="1">
      <alignment horizontal="center" vertical="center"/>
    </xf>
    <xf numFmtId="0" fontId="3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0" borderId="4" xfId="10" applyFill="1" applyBorder="1" applyAlignment="1">
      <alignment horizontal="left" vertical="center"/>
    </xf>
    <xf numFmtId="0" fontId="9" fillId="0" borderId="0" xfId="10" applyFill="1" applyBorder="1">
      <alignment vertical="center"/>
    </xf>
    <xf numFmtId="0" fontId="10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9" fillId="0" borderId="0" xfId="10" applyFill="1" applyBorder="1" applyAlignment="1">
      <alignment horizontal="left" vertical="center"/>
    </xf>
    <xf numFmtId="0" fontId="9" fillId="0" borderId="0" xfId="10" applyFill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1" fillId="27" borderId="0" xfId="0" applyFont="1" applyFill="1" applyAlignment="1">
      <alignment vertical="center"/>
    </xf>
    <xf numFmtId="0" fontId="20" fillId="0" borderId="0" xfId="4" applyFont="1" applyFill="1" applyBorder="1">
      <alignment vertical="center"/>
    </xf>
    <xf numFmtId="0" fontId="20" fillId="0" borderId="0" xfId="4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left" vertical="center"/>
    </xf>
    <xf numFmtId="0" fontId="3" fillId="0" borderId="0" xfId="10" applyFont="1" applyFill="1" applyBorder="1" applyAlignment="1">
      <alignment horizontal="left" vertical="center"/>
    </xf>
    <xf numFmtId="0" fontId="9" fillId="0" borderId="0" xfId="10" applyFill="1" applyBorder="1" applyAlignment="1">
      <alignment vertical="center"/>
    </xf>
    <xf numFmtId="0" fontId="3" fillId="25" borderId="4" xfId="10" applyFont="1" applyFill="1" applyBorder="1" applyAlignment="1">
      <alignment horizontal="center" vertical="center"/>
    </xf>
    <xf numFmtId="0" fontId="3" fillId="15" borderId="4" xfId="10" applyFont="1" applyFill="1" applyBorder="1" applyAlignment="1">
      <alignment horizontal="center" vertical="center"/>
    </xf>
    <xf numFmtId="0" fontId="9" fillId="0" borderId="4" xfId="10" applyFill="1" applyBorder="1" applyAlignment="1">
      <alignment vertical="center"/>
    </xf>
    <xf numFmtId="0" fontId="3" fillId="0" borderId="0" xfId="10" applyFont="1" applyFill="1" applyBorder="1" applyAlignment="1">
      <alignment horizontal="center" vertical="center"/>
    </xf>
    <xf numFmtId="0" fontId="3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3" fillId="25" borderId="0" xfId="10" applyFont="1" applyFill="1" applyBorder="1" applyAlignment="1">
      <alignment horizontal="center" vertical="center"/>
    </xf>
    <xf numFmtId="0" fontId="3" fillId="15" borderId="0" xfId="10" applyFont="1" applyFill="1" applyBorder="1" applyAlignment="1">
      <alignment horizontal="center" vertical="center"/>
    </xf>
    <xf numFmtId="0" fontId="3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0" fillId="0" borderId="0" xfId="4" applyFont="1" applyFill="1" applyBorder="1" applyAlignment="1">
      <alignment vertical="center"/>
    </xf>
    <xf numFmtId="0" fontId="9" fillId="0" borderId="4" xfId="10" applyBorder="1" applyAlignment="1">
      <alignment vertical="center"/>
    </xf>
    <xf numFmtId="0" fontId="3" fillId="33" borderId="4" xfId="10" applyFont="1" applyFill="1" applyBorder="1">
      <alignment vertical="center"/>
    </xf>
    <xf numFmtId="0" fontId="3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3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0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2" fillId="0" borderId="4" xfId="10" applyFont="1" applyBorder="1">
      <alignment vertical="center"/>
    </xf>
    <xf numFmtId="0" fontId="8" fillId="12" borderId="0" xfId="10" applyFont="1" applyFill="1" applyAlignment="1">
      <alignment horizontal="center" vertical="center"/>
    </xf>
    <xf numFmtId="0" fontId="9" fillId="0" borderId="4" xfId="10" applyFill="1" applyBorder="1">
      <alignment vertical="center"/>
    </xf>
    <xf numFmtId="0" fontId="9" fillId="13" borderId="4" xfId="10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3" fillId="13" borderId="4" xfId="10" applyFont="1" applyFill="1" applyBorder="1" applyAlignment="1">
      <alignment horizontal="center" vertical="center"/>
    </xf>
    <xf numFmtId="0" fontId="3" fillId="19" borderId="4" xfId="10" applyFont="1" applyFill="1" applyBorder="1" applyAlignment="1">
      <alignment horizontal="center" vertical="center"/>
    </xf>
    <xf numFmtId="0" fontId="6" fillId="0" borderId="4" xfId="10" applyFont="1" applyFill="1" applyBorder="1">
      <alignment vertical="center"/>
    </xf>
    <xf numFmtId="0" fontId="7" fillId="0" borderId="4" xfId="10" applyFont="1" applyFill="1" applyBorder="1">
      <alignment vertical="center"/>
    </xf>
    <xf numFmtId="0" fontId="6" fillId="19" borderId="4" xfId="10" applyFont="1" applyFill="1" applyBorder="1" applyAlignment="1">
      <alignment horizontal="center" vertical="center"/>
    </xf>
    <xf numFmtId="0" fontId="7" fillId="0" borderId="4" xfId="10" applyFont="1" applyFill="1" applyBorder="1" applyAlignment="1">
      <alignment horizontal="left" vertical="center"/>
    </xf>
    <xf numFmtId="0" fontId="5" fillId="0" borderId="4" xfId="10" applyFont="1" applyFill="1" applyBorder="1" applyAlignment="1">
      <alignment horizontal="left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19" fillId="19" borderId="4" xfId="3" applyFont="1" applyFill="1" applyBorder="1" applyAlignment="1">
      <alignment horizontal="center" vertical="center"/>
    </xf>
    <xf numFmtId="0" fontId="18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1" fillId="14" borderId="4" xfId="10" applyFont="1" applyFill="1" applyBorder="1" applyAlignment="1">
      <alignment horizontal="center" vertical="center"/>
    </xf>
    <xf numFmtId="0" fontId="1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34" borderId="0" xfId="0" applyFill="1" applyAlignment="1">
      <alignment horizontal="center"/>
    </xf>
    <xf numFmtId="0" fontId="11" fillId="3" borderId="0" xfId="2" applyAlignment="1">
      <alignment horizontal="center"/>
    </xf>
    <xf numFmtId="0" fontId="12" fillId="4" borderId="0" xfId="3" applyAlignment="1">
      <alignment horizontal="center"/>
    </xf>
    <xf numFmtId="0" fontId="10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3" fillId="29" borderId="6" xfId="10" applyFont="1" applyFill="1" applyBorder="1" applyAlignment="1">
      <alignment horizontal="center" vertical="center"/>
    </xf>
    <xf numFmtId="0" fontId="3" fillId="29" borderId="7" xfId="10" applyFont="1" applyFill="1" applyBorder="1" applyAlignment="1">
      <alignment horizontal="center" vertical="center"/>
    </xf>
    <xf numFmtId="0" fontId="3" fillId="14" borderId="6" xfId="10" applyFont="1" applyFill="1" applyBorder="1" applyAlignment="1">
      <alignment horizontal="center" vertical="center"/>
    </xf>
    <xf numFmtId="0" fontId="3" fillId="14" borderId="7" xfId="10" applyFont="1" applyFill="1" applyBorder="1" applyAlignment="1">
      <alignment horizontal="center" vertical="center"/>
    </xf>
    <xf numFmtId="0" fontId="3" fillId="30" borderId="6" xfId="10" applyFont="1" applyFill="1" applyBorder="1" applyAlignment="1">
      <alignment horizontal="center" vertical="center"/>
    </xf>
    <xf numFmtId="0" fontId="3" fillId="30" borderId="7" xfId="10" applyFont="1" applyFill="1" applyBorder="1" applyAlignment="1">
      <alignment horizontal="center" vertical="center"/>
    </xf>
    <xf numFmtId="0" fontId="17" fillId="16" borderId="4" xfId="10" applyFont="1" applyFill="1" applyBorder="1" applyAlignment="1">
      <alignment horizontal="center" vertical="center"/>
    </xf>
    <xf numFmtId="0" fontId="17" fillId="5" borderId="1" xfId="4" applyFont="1" applyAlignment="1">
      <alignment horizontal="center" vertical="center"/>
    </xf>
    <xf numFmtId="0" fontId="17" fillId="5" borderId="5" xfId="4" applyFont="1" applyBorder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4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5" t="s">
        <v>5</v>
      </c>
      <c r="B1" s="85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4" t="s">
        <v>102</v>
      </c>
      <c r="B2" s="84">
        <f>IF(A2="","",VLOOKUP(A2, プレイヤー名_ID, 2, FALSE))</f>
        <v>10000</v>
      </c>
      <c r="C2" s="84">
        <v>40</v>
      </c>
      <c r="D2" s="84">
        <v>15</v>
      </c>
      <c r="E2" s="84">
        <v>27</v>
      </c>
      <c r="F2" s="84">
        <v>12</v>
      </c>
      <c r="G2" s="84">
        <v>20</v>
      </c>
    </row>
    <row r="3" spans="1:7">
      <c r="A3" s="84" t="s">
        <v>100</v>
      </c>
      <c r="B3" s="84">
        <f>IF(A3="","",VLOOKUP(A3, プレイヤー名_ID, 2, FALSE))</f>
        <v>10001</v>
      </c>
      <c r="C3" s="84">
        <v>45</v>
      </c>
      <c r="D3" s="84">
        <v>15</v>
      </c>
      <c r="E3" s="84">
        <v>20</v>
      </c>
      <c r="F3" s="84">
        <v>23</v>
      </c>
      <c r="G3" s="84">
        <v>13</v>
      </c>
    </row>
  </sheetData>
  <phoneticPr fontId="15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3"/>
  <sheetViews>
    <sheetView workbookViewId="0">
      <selection sqref="A1:E13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102</v>
      </c>
      <c r="B2" s="84">
        <f t="shared" ref="B2:B12" si="0">IF(A2="","",VLOOKUP(A2, プレイヤー名_ID, 2, FALSE))</f>
        <v>10000</v>
      </c>
      <c r="C2" s="84" t="s">
        <v>171</v>
      </c>
      <c r="D2" s="84">
        <f t="shared" ref="D2:D13" si="1">IF(C2="","",VLOOKUP(C2, モーション名_ID, 2, FALSE))</f>
        <v>0</v>
      </c>
      <c r="E2" s="86" t="s">
        <v>106</v>
      </c>
    </row>
    <row r="3" spans="1:5">
      <c r="A3" s="84" t="s">
        <v>102</v>
      </c>
      <c r="B3" s="84">
        <f t="shared" si="0"/>
        <v>10000</v>
      </c>
      <c r="C3" s="84" t="s">
        <v>173</v>
      </c>
      <c r="D3" s="84">
        <f t="shared" si="1"/>
        <v>1</v>
      </c>
      <c r="E3" s="86" t="s">
        <v>104</v>
      </c>
    </row>
    <row r="4" spans="1:5">
      <c r="A4" s="84" t="s">
        <v>102</v>
      </c>
      <c r="B4" s="84">
        <f t="shared" si="0"/>
        <v>10000</v>
      </c>
      <c r="C4" s="84" t="s">
        <v>177</v>
      </c>
      <c r="D4" s="84">
        <f t="shared" si="1"/>
        <v>3</v>
      </c>
      <c r="E4" s="86" t="s">
        <v>105</v>
      </c>
    </row>
    <row r="5" spans="1:5">
      <c r="A5" s="84" t="s">
        <v>102</v>
      </c>
      <c r="B5" s="84">
        <f t="shared" si="0"/>
        <v>10000</v>
      </c>
      <c r="C5" s="84" t="s">
        <v>179</v>
      </c>
      <c r="D5" s="84">
        <f t="shared" si="1"/>
        <v>4</v>
      </c>
      <c r="E5" s="86" t="s">
        <v>107</v>
      </c>
    </row>
    <row r="6" spans="1:5">
      <c r="A6" s="84" t="s">
        <v>102</v>
      </c>
      <c r="B6" s="84">
        <f t="shared" ref="B6" si="2">IF(A6="","",VLOOKUP(A6, プレイヤー名_ID, 2, FALSE))</f>
        <v>10000</v>
      </c>
      <c r="C6" s="84" t="s">
        <v>181</v>
      </c>
      <c r="D6" s="84">
        <f t="shared" ref="D6" si="3">IF(C6="","",VLOOKUP(C6, モーション名_ID, 2, FALSE))</f>
        <v>5</v>
      </c>
      <c r="E6" s="86" t="s">
        <v>108</v>
      </c>
    </row>
    <row r="7" spans="1:5">
      <c r="A7" s="84" t="s">
        <v>102</v>
      </c>
      <c r="B7" s="84">
        <f t="shared" si="0"/>
        <v>10000</v>
      </c>
      <c r="C7" s="84" t="s">
        <v>186</v>
      </c>
      <c r="D7" s="84">
        <f t="shared" si="1"/>
        <v>8</v>
      </c>
      <c r="E7" s="86" t="s">
        <v>109</v>
      </c>
    </row>
    <row r="8" spans="1:5">
      <c r="A8" s="84" t="s">
        <v>100</v>
      </c>
      <c r="B8" s="84">
        <f t="shared" si="0"/>
        <v>10001</v>
      </c>
      <c r="C8" s="84" t="s">
        <v>171</v>
      </c>
      <c r="D8" s="84">
        <f t="shared" si="1"/>
        <v>0</v>
      </c>
      <c r="E8" s="86" t="s">
        <v>110</v>
      </c>
    </row>
    <row r="9" spans="1:5">
      <c r="A9" s="84" t="s">
        <v>100</v>
      </c>
      <c r="B9" s="84">
        <f t="shared" si="0"/>
        <v>10001</v>
      </c>
      <c r="C9" s="84" t="s">
        <v>173</v>
      </c>
      <c r="D9" s="84">
        <f t="shared" si="1"/>
        <v>1</v>
      </c>
      <c r="E9" s="86" t="s">
        <v>111</v>
      </c>
    </row>
    <row r="10" spans="1:5">
      <c r="A10" s="84" t="s">
        <v>100</v>
      </c>
      <c r="B10" s="84">
        <f t="shared" si="0"/>
        <v>10001</v>
      </c>
      <c r="C10" s="84" t="s">
        <v>177</v>
      </c>
      <c r="D10" s="84">
        <f t="shared" si="1"/>
        <v>3</v>
      </c>
      <c r="E10" s="86" t="s">
        <v>112</v>
      </c>
    </row>
    <row r="11" spans="1:5">
      <c r="A11" s="84" t="s">
        <v>100</v>
      </c>
      <c r="B11" s="84">
        <f t="shared" si="0"/>
        <v>10001</v>
      </c>
      <c r="C11" s="84" t="s">
        <v>179</v>
      </c>
      <c r="D11" s="84">
        <f t="shared" si="1"/>
        <v>4</v>
      </c>
      <c r="E11" s="86" t="s">
        <v>113</v>
      </c>
    </row>
    <row r="12" spans="1:5">
      <c r="A12" s="84" t="s">
        <v>100</v>
      </c>
      <c r="B12" s="84">
        <f t="shared" si="0"/>
        <v>10001</v>
      </c>
      <c r="C12" s="84" t="s">
        <v>181</v>
      </c>
      <c r="D12" s="84">
        <f t="shared" si="1"/>
        <v>5</v>
      </c>
      <c r="E12" s="86" t="s">
        <v>114</v>
      </c>
    </row>
    <row r="13" spans="1:5">
      <c r="A13" s="84" t="s">
        <v>100</v>
      </c>
      <c r="B13" s="84">
        <f t="shared" ref="B13" si="4">IF(A13="","",VLOOKUP(A13, プレイヤー名_ID, 2, FALSE))</f>
        <v>10001</v>
      </c>
      <c r="C13" s="84" t="s">
        <v>186</v>
      </c>
      <c r="D13" s="84">
        <f t="shared" si="1"/>
        <v>8</v>
      </c>
      <c r="E13" s="86" t="s">
        <v>115</v>
      </c>
    </row>
  </sheetData>
  <phoneticPr fontId="15"/>
  <dataValidations count="2">
    <dataValidation type="list" allowBlank="1" showInputMessage="1" showErrorMessage="1" sqref="A2:A13" xr:uid="{A898687A-7F8E-42CE-8B82-0C0F92AF266D}">
      <formula1>プレイヤー名</formula1>
    </dataValidation>
    <dataValidation type="list" allowBlank="1" showInputMessage="1" showErrorMessage="1" sqref="C2:C13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68</v>
      </c>
      <c r="B1" s="25" t="s">
        <v>69</v>
      </c>
      <c r="C1" s="28" t="s">
        <v>97</v>
      </c>
      <c r="D1" s="28" t="s">
        <v>98</v>
      </c>
      <c r="E1" s="26" t="s">
        <v>85</v>
      </c>
      <c r="F1" s="26" t="s">
        <v>92</v>
      </c>
      <c r="G1" s="25" t="s">
        <v>64</v>
      </c>
      <c r="H1" s="25" t="s">
        <v>65</v>
      </c>
      <c r="I1" s="25" t="s">
        <v>88</v>
      </c>
      <c r="J1" s="25" t="s">
        <v>89</v>
      </c>
      <c r="K1" s="25" t="s">
        <v>90</v>
      </c>
      <c r="L1" s="25" t="s">
        <v>91</v>
      </c>
      <c r="M1" s="25" t="s">
        <v>93</v>
      </c>
      <c r="N1" s="25" t="s">
        <v>94</v>
      </c>
      <c r="O1" s="27" t="s">
        <v>95</v>
      </c>
      <c r="P1" s="27" t="s">
        <v>96</v>
      </c>
      <c r="Q1" s="29" t="s">
        <v>99</v>
      </c>
    </row>
    <row r="2" spans="1:17">
      <c r="A2" s="21" t="s">
        <v>84</v>
      </c>
      <c r="B2" s="21">
        <v>0</v>
      </c>
      <c r="C2" s="21" t="s">
        <v>102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75</v>
      </c>
      <c r="H2" s="21">
        <f>IF(G2="","",VLOOKUP(G2, スキルタイプ名_ID, 2, FALSE))</f>
        <v>0</v>
      </c>
      <c r="I2" s="21" t="s">
        <v>79</v>
      </c>
      <c r="J2" s="21">
        <f>IF(I2="","",VLOOKUP(I2, スキル対象名_ID, 2, FALSE))</f>
        <v>1</v>
      </c>
      <c r="K2" s="21" t="s">
        <v>86</v>
      </c>
      <c r="L2" s="21">
        <f>IF(K2="","",VLOOKUP(K2, スキル対象数名_ID, 2, FALSE))</f>
        <v>0</v>
      </c>
      <c r="M2" s="21" t="s">
        <v>82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126</v>
      </c>
    </row>
    <row r="3" spans="1:17">
      <c r="A3" s="21" t="s">
        <v>125</v>
      </c>
      <c r="B3" s="21">
        <v>1</v>
      </c>
      <c r="C3" s="21" t="s">
        <v>100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124</v>
      </c>
      <c r="H3" s="21">
        <f>IF(G3="","",VLOOKUP(G3, スキルタイプ名_ID, 2, FALSE))</f>
        <v>1</v>
      </c>
      <c r="I3" s="21" t="s">
        <v>80</v>
      </c>
      <c r="J3" s="21">
        <f>IF(I3="","",VLOOKUP(I3, スキル対象名_ID, 2, FALSE))</f>
        <v>2</v>
      </c>
      <c r="K3" s="21" t="s">
        <v>86</v>
      </c>
      <c r="L3" s="21">
        <f>IF(K3="","",VLOOKUP(K3, スキル対象数名_ID, 2, FALSE))</f>
        <v>0</v>
      </c>
      <c r="M3" s="21" t="s">
        <v>82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191</v>
      </c>
    </row>
    <row r="16" spans="1:17">
      <c r="F16" s="19"/>
      <c r="G16" s="19"/>
      <c r="H16" s="19"/>
      <c r="I16" s="19"/>
    </row>
  </sheetData>
  <phoneticPr fontId="15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K4"/>
  <sheetViews>
    <sheetView workbookViewId="0">
      <selection activeCell="I1" sqref="I1:K1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102</v>
      </c>
      <c r="B3" s="21">
        <f>IF(A3="","",VLOOKUP(A3,プレイヤー名_ID,2,FALSE))</f>
        <v>10000</v>
      </c>
      <c r="C3" s="21">
        <v>45</v>
      </c>
      <c r="D3" s="21">
        <v>0</v>
      </c>
      <c r="E3" s="21">
        <v>0</v>
      </c>
      <c r="F3" s="21">
        <v>0.02</v>
      </c>
      <c r="G3" s="21">
        <v>0.02</v>
      </c>
      <c r="H3" s="21">
        <v>0.02</v>
      </c>
      <c r="I3" s="21">
        <v>0</v>
      </c>
      <c r="J3" s="21">
        <f>RADIANS(270)</f>
        <v>4.7123889803846897</v>
      </c>
      <c r="K3" s="21">
        <v>0</v>
      </c>
    </row>
    <row r="4" spans="1:11">
      <c r="A4" s="21" t="s">
        <v>100</v>
      </c>
      <c r="B4" s="21">
        <f>IF(A4="","",VLOOKUP(A4,プレイヤー名_ID,2,FALSE))</f>
        <v>10001</v>
      </c>
      <c r="C4" s="21">
        <v>0</v>
      </c>
      <c r="D4" s="21">
        <v>0</v>
      </c>
      <c r="E4" s="21">
        <v>0</v>
      </c>
      <c r="F4" s="21">
        <v>0.02</v>
      </c>
      <c r="G4" s="21">
        <v>0.02</v>
      </c>
      <c r="H4" s="21">
        <v>0.02</v>
      </c>
      <c r="I4" s="21">
        <v>0</v>
      </c>
      <c r="J4" s="21">
        <v>0</v>
      </c>
      <c r="K4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201</v>
      </c>
      <c r="B2" s="84">
        <f>IF(A2="","",VLOOKUP(A2,NPC名_ID,2,FALSE))</f>
        <v>15000</v>
      </c>
      <c r="C2" s="84" t="s">
        <v>171</v>
      </c>
      <c r="D2" s="84">
        <f>IF(C2="","",VLOOKUP(C2,モーション名_ID,2,FALSE))</f>
        <v>0</v>
      </c>
      <c r="E2" s="101" t="s">
        <v>203</v>
      </c>
    </row>
    <row r="3" spans="1:5">
      <c r="A3" s="84" t="s">
        <v>201</v>
      </c>
      <c r="B3" s="84">
        <f>IF(A3="","",VLOOKUP(A3,NPC名_ID,2,FALSE))</f>
        <v>15000</v>
      </c>
      <c r="C3" s="84" t="s">
        <v>173</v>
      </c>
      <c r="D3" s="84">
        <f>IF(C3="","",VLOOKUP(C3,モーション名_ID,2,FALSE))</f>
        <v>1</v>
      </c>
      <c r="E3" s="101" t="s">
        <v>204</v>
      </c>
    </row>
  </sheetData>
  <phoneticPr fontId="15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K3"/>
  <sheetViews>
    <sheetView workbookViewId="0">
      <selection activeCell="I26" sqref="I26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201</v>
      </c>
      <c r="B3" s="21">
        <f>IF(A3="","",VLOOKUP(A3,NPC名_ID,2,FALSE))</f>
        <v>15000</v>
      </c>
      <c r="C3" s="21">
        <v>33</v>
      </c>
      <c r="D3" s="21">
        <v>0</v>
      </c>
      <c r="E3" s="21">
        <v>-15</v>
      </c>
      <c r="F3" s="21">
        <v>0.02</v>
      </c>
      <c r="G3" s="21">
        <v>0.02</v>
      </c>
      <c r="H3" s="21">
        <v>0.02</v>
      </c>
      <c r="I3" s="21">
        <v>0</v>
      </c>
      <c r="J3" s="21">
        <v>0</v>
      </c>
      <c r="K3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tabSelected="1"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102" t="s">
        <v>116</v>
      </c>
      <c r="B1" s="102" t="s">
        <v>117</v>
      </c>
      <c r="C1" s="27" t="s">
        <v>205</v>
      </c>
      <c r="D1" s="25" t="s">
        <v>211</v>
      </c>
      <c r="E1" s="103" t="s">
        <v>208</v>
      </c>
    </row>
    <row r="2" spans="1:8">
      <c r="A2" s="104" t="s">
        <v>201</v>
      </c>
      <c r="B2" s="104">
        <f>IF(A2="","",VLOOKUP(A2,NPC名_ID,2,FALSE))</f>
        <v>15000</v>
      </c>
      <c r="C2" s="104">
        <v>1</v>
      </c>
      <c r="D2" s="104">
        <v>4</v>
      </c>
      <c r="E2" s="104">
        <v>0</v>
      </c>
    </row>
    <row r="3" spans="1:8">
      <c r="A3" s="113" t="s">
        <v>212</v>
      </c>
      <c r="B3" s="113"/>
      <c r="C3" s="113"/>
      <c r="D3" s="113"/>
      <c r="E3" s="113"/>
      <c r="F3" s="113"/>
      <c r="G3" s="113"/>
      <c r="H3" s="113"/>
    </row>
    <row r="4" spans="1:8">
      <c r="A4" s="113" t="s">
        <v>213</v>
      </c>
      <c r="B4" s="113"/>
      <c r="C4" s="113"/>
      <c r="D4" s="113"/>
      <c r="E4" s="113"/>
      <c r="F4" s="113"/>
      <c r="G4" s="113"/>
      <c r="H4" s="113"/>
    </row>
    <row r="5" spans="1:8">
      <c r="A5" s="113" t="s">
        <v>206</v>
      </c>
      <c r="B5" s="113"/>
      <c r="C5" s="113"/>
      <c r="D5" s="113"/>
      <c r="E5" s="113"/>
      <c r="F5" s="113"/>
      <c r="G5" s="113"/>
      <c r="H5" s="113"/>
    </row>
    <row r="6" spans="1:8">
      <c r="A6" s="113" t="s">
        <v>214</v>
      </c>
      <c r="B6" s="113"/>
      <c r="C6" s="113"/>
      <c r="D6" s="113"/>
      <c r="E6" s="113"/>
      <c r="F6" s="113"/>
      <c r="G6" s="113"/>
      <c r="H6" s="113"/>
    </row>
    <row r="7" spans="1:8">
      <c r="A7" s="105" t="s">
        <v>201</v>
      </c>
      <c r="B7" s="105">
        <f>IF(A7="","",VLOOKUP(A7,NPC名_ID,2,FALSE))</f>
        <v>15000</v>
      </c>
      <c r="C7" s="105">
        <v>2</v>
      </c>
      <c r="D7" s="105">
        <v>1</v>
      </c>
      <c r="E7" s="105">
        <v>0</v>
      </c>
    </row>
    <row r="8" spans="1:8">
      <c r="A8" s="110" t="s">
        <v>207</v>
      </c>
      <c r="B8" s="110"/>
      <c r="C8" s="110"/>
      <c r="D8" s="110"/>
      <c r="E8" s="110"/>
      <c r="F8" s="110"/>
      <c r="G8" s="110"/>
      <c r="H8" s="110"/>
    </row>
    <row r="9" spans="1:8">
      <c r="A9" s="98" t="s">
        <v>201</v>
      </c>
      <c r="B9" s="98">
        <f>IF(A9="","",VLOOKUP(A9,NPC名_ID,2,FALSE))</f>
        <v>15000</v>
      </c>
      <c r="C9" s="98">
        <v>1</v>
      </c>
      <c r="D9" s="98">
        <v>3</v>
      </c>
      <c r="E9" s="98">
        <v>1</v>
      </c>
    </row>
    <row r="10" spans="1:8">
      <c r="A10" s="111" t="s">
        <v>209</v>
      </c>
      <c r="B10" s="112"/>
      <c r="C10" s="112"/>
      <c r="D10" s="112"/>
      <c r="E10" s="112"/>
      <c r="F10" s="112"/>
      <c r="G10" s="112"/>
      <c r="H10" s="112"/>
    </row>
    <row r="11" spans="1:8">
      <c r="A11" s="112" t="s">
        <v>215</v>
      </c>
      <c r="B11" s="112"/>
      <c r="C11" s="112"/>
      <c r="D11" s="112"/>
      <c r="E11" s="112"/>
      <c r="F11" s="112"/>
      <c r="G11" s="112"/>
      <c r="H11" s="112"/>
    </row>
    <row r="12" spans="1:8">
      <c r="A12" s="112" t="s">
        <v>210</v>
      </c>
      <c r="B12" s="112"/>
      <c r="C12" s="112"/>
      <c r="D12" s="112"/>
      <c r="E12" s="112"/>
      <c r="F12" s="112"/>
      <c r="G12" s="112"/>
      <c r="H12" s="112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5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A4" sqref="A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5" t="s">
        <v>5</v>
      </c>
      <c r="B1" s="85" t="s">
        <v>6</v>
      </c>
      <c r="C1" s="91" t="s">
        <v>64</v>
      </c>
      <c r="D1" s="91" t="s">
        <v>65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4" t="s">
        <v>13</v>
      </c>
      <c r="B2" s="84">
        <f>IF(A2="","",VLOOKUP(A2, 敵名_ID,2,))</f>
        <v>20000</v>
      </c>
      <c r="C2" s="89" t="s">
        <v>167</v>
      </c>
      <c r="D2" s="84">
        <f>IF(C2="","",VLOOKUP(C2, 敵タイプ_ID,2,))</f>
        <v>0</v>
      </c>
      <c r="E2" s="84">
        <v>20</v>
      </c>
      <c r="F2" s="84">
        <v>10</v>
      </c>
      <c r="G2" s="84">
        <v>17</v>
      </c>
      <c r="H2" s="84">
        <v>18</v>
      </c>
      <c r="I2" s="84">
        <v>12</v>
      </c>
    </row>
    <row r="3" spans="1:9">
      <c r="A3" s="84" t="s">
        <v>14</v>
      </c>
      <c r="B3" s="84">
        <f>IF(A3="","",VLOOKUP(A3, 敵名_ID,2,))</f>
        <v>20001</v>
      </c>
      <c r="C3" s="89" t="s">
        <v>167</v>
      </c>
      <c r="D3" s="84">
        <f>IF(C3="","",VLOOKUP(C3, 敵タイプ_ID,2,))</f>
        <v>0</v>
      </c>
      <c r="E3" s="84">
        <v>25</v>
      </c>
      <c r="F3" s="84">
        <v>10</v>
      </c>
      <c r="G3" s="84">
        <v>22</v>
      </c>
      <c r="H3" s="84">
        <v>13</v>
      </c>
      <c r="I3" s="84">
        <v>10</v>
      </c>
    </row>
    <row r="4" spans="1:9">
      <c r="A4" s="90" t="s">
        <v>59</v>
      </c>
      <c r="B4" s="84">
        <f>IF(A4="","",VLOOKUP(A4, 敵名_ID,2,))</f>
        <v>20002</v>
      </c>
      <c r="C4" s="89" t="s">
        <v>169</v>
      </c>
      <c r="D4" s="84">
        <f>IF(C4="","",VLOOKUP(C4, 敵タイプ_ID,2,))</f>
        <v>1</v>
      </c>
      <c r="E4" s="84">
        <v>185</v>
      </c>
      <c r="F4" s="84">
        <v>50</v>
      </c>
      <c r="G4" s="84">
        <v>30</v>
      </c>
      <c r="H4" s="84">
        <v>15</v>
      </c>
      <c r="I4" s="84">
        <v>10</v>
      </c>
    </row>
  </sheetData>
  <phoneticPr fontId="15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18"/>
  <sheetViews>
    <sheetView workbookViewId="0">
      <selection activeCell="E1" sqref="E1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28.375" style="1" customWidth="1"/>
    <col min="6" max="16384" width="9" style="1"/>
  </cols>
  <sheetData>
    <row r="1" spans="1:5">
      <c r="A1" s="94" t="s">
        <v>5</v>
      </c>
      <c r="B1" s="94" t="s">
        <v>6</v>
      </c>
      <c r="C1" s="95" t="s">
        <v>128</v>
      </c>
      <c r="D1" s="96" t="s">
        <v>129</v>
      </c>
      <c r="E1" s="5" t="s">
        <v>166</v>
      </c>
    </row>
    <row r="2" spans="1:5">
      <c r="A2" s="84" t="s">
        <v>13</v>
      </c>
      <c r="B2" s="84">
        <f t="shared" ref="B2:B13" si="0">IF(A2="","",VLOOKUP(A2, 敵名_ID,2,))</f>
        <v>20000</v>
      </c>
      <c r="C2" s="84" t="s">
        <v>171</v>
      </c>
      <c r="D2" s="84">
        <f t="shared" ref="D2:D13" si="1">IF(C2="","",VLOOKUP(C2, モーション名_ID,2,FALSE))</f>
        <v>0</v>
      </c>
      <c r="E2" s="41" t="s">
        <v>15</v>
      </c>
    </row>
    <row r="3" spans="1:5">
      <c r="A3" s="84" t="s">
        <v>13</v>
      </c>
      <c r="B3" s="84">
        <f t="shared" si="0"/>
        <v>20000</v>
      </c>
      <c r="C3" s="84" t="s">
        <v>173</v>
      </c>
      <c r="D3" s="84">
        <f t="shared" si="1"/>
        <v>1</v>
      </c>
      <c r="E3" s="41" t="s">
        <v>16</v>
      </c>
    </row>
    <row r="4" spans="1:5">
      <c r="A4" s="84" t="s">
        <v>13</v>
      </c>
      <c r="B4" s="84">
        <f t="shared" si="0"/>
        <v>20000</v>
      </c>
      <c r="C4" s="84" t="s">
        <v>177</v>
      </c>
      <c r="D4" s="84">
        <f t="shared" si="1"/>
        <v>3</v>
      </c>
      <c r="E4" s="41" t="s">
        <v>17</v>
      </c>
    </row>
    <row r="5" spans="1:5">
      <c r="A5" s="84" t="s">
        <v>13</v>
      </c>
      <c r="B5" s="84">
        <f t="shared" si="0"/>
        <v>20000</v>
      </c>
      <c r="C5" s="84" t="s">
        <v>179</v>
      </c>
      <c r="D5" s="84">
        <f t="shared" si="1"/>
        <v>4</v>
      </c>
      <c r="E5" s="41" t="s">
        <v>18</v>
      </c>
    </row>
    <row r="6" spans="1:5">
      <c r="A6" s="84" t="s">
        <v>13</v>
      </c>
      <c r="B6" s="84">
        <f t="shared" si="0"/>
        <v>20000</v>
      </c>
      <c r="C6" s="84" t="s">
        <v>175</v>
      </c>
      <c r="D6" s="84">
        <f t="shared" si="1"/>
        <v>2</v>
      </c>
      <c r="E6" s="41" t="s">
        <v>19</v>
      </c>
    </row>
    <row r="7" spans="1:5">
      <c r="A7" s="84" t="s">
        <v>13</v>
      </c>
      <c r="B7" s="84">
        <f t="shared" si="0"/>
        <v>20000</v>
      </c>
      <c r="C7" s="84" t="s">
        <v>183</v>
      </c>
      <c r="D7" s="84">
        <f t="shared" si="1"/>
        <v>6</v>
      </c>
      <c r="E7" s="41" t="s">
        <v>20</v>
      </c>
    </row>
    <row r="8" spans="1:5">
      <c r="A8" s="84" t="s">
        <v>14</v>
      </c>
      <c r="B8" s="84">
        <f t="shared" si="0"/>
        <v>20001</v>
      </c>
      <c r="C8" s="84" t="s">
        <v>171</v>
      </c>
      <c r="D8" s="84">
        <f t="shared" si="1"/>
        <v>0</v>
      </c>
      <c r="E8" s="41" t="s">
        <v>21</v>
      </c>
    </row>
    <row r="9" spans="1:5">
      <c r="A9" s="84" t="s">
        <v>14</v>
      </c>
      <c r="B9" s="84">
        <f t="shared" si="0"/>
        <v>20001</v>
      </c>
      <c r="C9" s="84" t="s">
        <v>173</v>
      </c>
      <c r="D9" s="84">
        <f t="shared" si="1"/>
        <v>1</v>
      </c>
      <c r="E9" s="41" t="s">
        <v>22</v>
      </c>
    </row>
    <row r="10" spans="1:5">
      <c r="A10" s="84" t="s">
        <v>14</v>
      </c>
      <c r="B10" s="84">
        <f t="shared" si="0"/>
        <v>20001</v>
      </c>
      <c r="C10" s="84" t="s">
        <v>173</v>
      </c>
      <c r="D10" s="84">
        <f t="shared" si="1"/>
        <v>1</v>
      </c>
      <c r="E10" s="41" t="s">
        <v>23</v>
      </c>
    </row>
    <row r="11" spans="1:5">
      <c r="A11" s="84" t="s">
        <v>14</v>
      </c>
      <c r="B11" s="84">
        <f t="shared" si="0"/>
        <v>20001</v>
      </c>
      <c r="C11" s="84" t="s">
        <v>177</v>
      </c>
      <c r="D11" s="84">
        <f t="shared" si="1"/>
        <v>3</v>
      </c>
      <c r="E11" s="41" t="s">
        <v>24</v>
      </c>
    </row>
    <row r="12" spans="1:5">
      <c r="A12" s="84" t="s">
        <v>14</v>
      </c>
      <c r="B12" s="84">
        <f t="shared" si="0"/>
        <v>20001</v>
      </c>
      <c r="C12" s="84" t="s">
        <v>179</v>
      </c>
      <c r="D12" s="84">
        <f t="shared" si="1"/>
        <v>4</v>
      </c>
      <c r="E12" s="41" t="s">
        <v>25</v>
      </c>
    </row>
    <row r="13" spans="1:5">
      <c r="A13" s="84" t="s">
        <v>14</v>
      </c>
      <c r="B13" s="84">
        <f t="shared" si="0"/>
        <v>20001</v>
      </c>
      <c r="C13" s="84" t="s">
        <v>183</v>
      </c>
      <c r="D13" s="84">
        <f t="shared" si="1"/>
        <v>6</v>
      </c>
      <c r="E13" s="41" t="s">
        <v>26</v>
      </c>
    </row>
    <row r="14" spans="1:5">
      <c r="A14" s="84" t="s">
        <v>59</v>
      </c>
      <c r="B14" s="84">
        <f t="shared" ref="B14:B16" si="2">IF(A14="","",VLOOKUP(A14, 敵名_ID,2,))</f>
        <v>20002</v>
      </c>
      <c r="C14" s="84" t="s">
        <v>171</v>
      </c>
      <c r="D14" s="84">
        <f t="shared" ref="D14:D16" si="3">IF(C14="","",VLOOKUP(C14, モーション名_ID,2,FALSE))</f>
        <v>0</v>
      </c>
      <c r="E14" s="92" t="s">
        <v>61</v>
      </c>
    </row>
    <row r="15" spans="1:5">
      <c r="A15" s="84" t="s">
        <v>59</v>
      </c>
      <c r="B15" s="84">
        <f t="shared" si="2"/>
        <v>20002</v>
      </c>
      <c r="C15" s="84" t="s">
        <v>173</v>
      </c>
      <c r="D15" s="84">
        <f t="shared" si="3"/>
        <v>1</v>
      </c>
      <c r="E15" s="93" t="s">
        <v>67</v>
      </c>
    </row>
    <row r="16" spans="1:5">
      <c r="A16" s="84" t="s">
        <v>59</v>
      </c>
      <c r="B16" s="84">
        <f t="shared" si="2"/>
        <v>20002</v>
      </c>
      <c r="C16" s="84" t="s">
        <v>177</v>
      </c>
      <c r="D16" s="84">
        <f t="shared" si="3"/>
        <v>3</v>
      </c>
      <c r="E16" s="93" t="s">
        <v>62</v>
      </c>
    </row>
    <row r="17" spans="1:5">
      <c r="A17" s="84" t="s">
        <v>59</v>
      </c>
      <c r="B17" s="84">
        <f t="shared" ref="B17" si="4">IF(A17="","",VLOOKUP(A17, 敵名_ID,2,))</f>
        <v>20002</v>
      </c>
      <c r="C17" s="84" t="s">
        <v>179</v>
      </c>
      <c r="D17" s="84">
        <f t="shared" ref="D17" si="5">IF(C17="","",VLOOKUP(C17, モーション名_ID,2,FALSE))</f>
        <v>4</v>
      </c>
      <c r="E17" s="92" t="s">
        <v>63</v>
      </c>
    </row>
    <row r="18" spans="1:5">
      <c r="A18" s="84"/>
      <c r="B18" s="84"/>
      <c r="C18" s="84"/>
      <c r="D18" s="84"/>
      <c r="E18" s="41"/>
    </row>
  </sheetData>
  <phoneticPr fontId="15"/>
  <dataValidations count="2">
    <dataValidation type="list" allowBlank="1" showInputMessage="1" showErrorMessage="1" sqref="A2:A18" xr:uid="{A82FB9BA-223C-4A64-AC2D-FD8A2C23FD65}">
      <formula1>敵名</formula1>
    </dataValidation>
    <dataValidation type="list" allowBlank="1" showInputMessage="1" showErrorMessage="1" sqref="C2:C18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27</v>
      </c>
      <c r="D1" s="6" t="s">
        <v>28</v>
      </c>
      <c r="E1" s="6" t="s">
        <v>29</v>
      </c>
      <c r="F1" s="7" t="s">
        <v>30</v>
      </c>
      <c r="G1" s="7" t="s">
        <v>31</v>
      </c>
      <c r="H1" s="7" t="s">
        <v>29</v>
      </c>
      <c r="I1" s="8" t="s">
        <v>32</v>
      </c>
      <c r="J1" s="8" t="s">
        <v>33</v>
      </c>
      <c r="K1" s="8" t="s">
        <v>29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57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133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59</v>
      </c>
      <c r="B4" s="9">
        <f t="shared" si="0"/>
        <v>20002</v>
      </c>
      <c r="C4" s="9" t="s">
        <v>127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5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K5"/>
  <sheetViews>
    <sheetView workbookViewId="0">
      <selection activeCell="A3" sqref="A3:K3"/>
    </sheetView>
  </sheetViews>
  <sheetFormatPr defaultRowHeight="18.75"/>
  <cols>
    <col min="1" max="1" width="15.125" bestFit="1" customWidth="1"/>
  </cols>
  <sheetData>
    <row r="1" spans="1:11">
      <c r="A1" s="106" t="s">
        <v>116</v>
      </c>
      <c r="B1" s="106"/>
      <c r="C1" s="107" t="s">
        <v>118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13</v>
      </c>
      <c r="B3" s="21">
        <f>IF(A3="","",VLOOKUP(A3,敵名_ID,2,FALSE))</f>
        <v>20000</v>
      </c>
      <c r="C3" s="21">
        <v>-55</v>
      </c>
      <c r="D3" s="21">
        <v>0</v>
      </c>
      <c r="E3" s="21">
        <v>14</v>
      </c>
      <c r="F3" s="21">
        <v>0.02</v>
      </c>
      <c r="G3" s="21">
        <v>0.02</v>
      </c>
      <c r="H3" s="21">
        <v>0.02</v>
      </c>
      <c r="I3" s="21">
        <v>0</v>
      </c>
      <c r="J3" s="21">
        <f>RADIANS(90)</f>
        <v>1.5707963267948966</v>
      </c>
      <c r="K3" s="21">
        <v>0</v>
      </c>
    </row>
    <row r="4" spans="1:11">
      <c r="A4" s="21" t="s">
        <v>14</v>
      </c>
      <c r="B4" s="21">
        <f>IF(A4="","",VLOOKUP(A4,敵名_ID,2,FALSE))</f>
        <v>20001</v>
      </c>
      <c r="C4" s="21">
        <v>-55</v>
      </c>
      <c r="D4" s="21">
        <v>0</v>
      </c>
      <c r="E4" s="21">
        <v>-14</v>
      </c>
      <c r="F4" s="21">
        <v>0.02</v>
      </c>
      <c r="G4" s="21">
        <v>0.02</v>
      </c>
      <c r="H4" s="21">
        <v>0.02</v>
      </c>
      <c r="I4" s="21">
        <v>0</v>
      </c>
      <c r="J4" s="21">
        <f t="shared" ref="J4:J5" si="0">RADIANS(90)</f>
        <v>1.5707963267948966</v>
      </c>
      <c r="K4" s="21">
        <v>0</v>
      </c>
    </row>
    <row r="5" spans="1:11">
      <c r="A5" s="21" t="s">
        <v>59</v>
      </c>
      <c r="B5" s="21">
        <f>IF(A5="","",VLOOKUP(A5,敵名_ID,2,FALSE))</f>
        <v>20002</v>
      </c>
      <c r="C5" s="21">
        <v>-110</v>
      </c>
      <c r="D5" s="21">
        <v>10</v>
      </c>
      <c r="E5" s="21">
        <v>0</v>
      </c>
      <c r="F5" s="21">
        <v>2.5000000000000001E-2</v>
      </c>
      <c r="G5" s="21">
        <v>2.5000000000000001E-2</v>
      </c>
      <c r="H5" s="21">
        <v>2.5000000000000001E-2</v>
      </c>
      <c r="I5" s="21">
        <v>0</v>
      </c>
      <c r="J5" s="21">
        <f t="shared" si="0"/>
        <v>1.5707963267948966</v>
      </c>
      <c r="K5" s="21">
        <v>0</v>
      </c>
    </row>
  </sheetData>
  <mergeCells count="4">
    <mergeCell ref="C1:E1"/>
    <mergeCell ref="F1:H1"/>
    <mergeCell ref="I1:K1"/>
    <mergeCell ref="A1:B1"/>
  </mergeCells>
  <phoneticPr fontId="15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128</v>
      </c>
      <c r="D1" s="39" t="s">
        <v>129</v>
      </c>
      <c r="E1" s="40" t="s">
        <v>52</v>
      </c>
      <c r="F1" s="50" t="s">
        <v>140</v>
      </c>
    </row>
    <row r="2" spans="1:6">
      <c r="A2" s="21" t="s">
        <v>54</v>
      </c>
      <c r="B2" s="21">
        <f t="shared" ref="B2:B7" si="0">IF(A2="", "", VLOOKUP(A2, アイテム名_ID, 2, FALSE))</f>
        <v>40000</v>
      </c>
      <c r="C2" s="21" t="s">
        <v>135</v>
      </c>
      <c r="D2" s="21">
        <f t="shared" ref="D2:D7" si="1">IF(C2="", "", VLOOKUP(C2, アイテムタイプ名_ID, 2, FALSE))</f>
        <v>0</v>
      </c>
      <c r="E2" s="13" t="s">
        <v>38</v>
      </c>
      <c r="F2" s="49" t="s">
        <v>141</v>
      </c>
    </row>
    <row r="3" spans="1:6">
      <c r="A3" s="21" t="s">
        <v>55</v>
      </c>
      <c r="B3" s="21">
        <f t="shared" si="0"/>
        <v>40001</v>
      </c>
      <c r="C3" s="21" t="s">
        <v>135</v>
      </c>
      <c r="D3" s="21">
        <f t="shared" si="1"/>
        <v>0</v>
      </c>
      <c r="E3" s="9" t="s">
        <v>39</v>
      </c>
      <c r="F3" s="49" t="s">
        <v>142</v>
      </c>
    </row>
    <row r="4" spans="1:6">
      <c r="A4" s="21" t="s">
        <v>56</v>
      </c>
      <c r="B4" s="21">
        <f t="shared" si="0"/>
        <v>45000</v>
      </c>
      <c r="C4" s="21" t="s">
        <v>41</v>
      </c>
      <c r="D4" s="21">
        <f t="shared" si="1"/>
        <v>1</v>
      </c>
      <c r="E4" s="9" t="s">
        <v>40</v>
      </c>
      <c r="F4" s="49" t="s">
        <v>143</v>
      </c>
    </row>
    <row r="5" spans="1:6">
      <c r="A5" s="21" t="s">
        <v>127</v>
      </c>
      <c r="B5" s="21">
        <f t="shared" si="0"/>
        <v>50000</v>
      </c>
      <c r="C5" s="21" t="s">
        <v>136</v>
      </c>
      <c r="D5" s="21">
        <f t="shared" si="1"/>
        <v>2</v>
      </c>
      <c r="E5" s="37" t="s">
        <v>139</v>
      </c>
      <c r="F5" s="49" t="s">
        <v>144</v>
      </c>
    </row>
    <row r="6" spans="1:6">
      <c r="A6" s="21" t="s">
        <v>132</v>
      </c>
      <c r="B6" s="21">
        <f t="shared" si="0"/>
        <v>60000</v>
      </c>
      <c r="C6" s="21" t="s">
        <v>137</v>
      </c>
      <c r="D6" s="21">
        <f t="shared" si="1"/>
        <v>3</v>
      </c>
      <c r="E6" s="13" t="s">
        <v>46</v>
      </c>
      <c r="F6" s="49" t="s">
        <v>145</v>
      </c>
    </row>
    <row r="7" spans="1:6">
      <c r="A7" s="21" t="s">
        <v>133</v>
      </c>
      <c r="B7" s="21">
        <f t="shared" si="0"/>
        <v>60001</v>
      </c>
      <c r="C7" s="21" t="s">
        <v>137</v>
      </c>
      <c r="D7" s="21">
        <f t="shared" si="1"/>
        <v>3</v>
      </c>
      <c r="E7" s="13" t="s">
        <v>44</v>
      </c>
      <c r="F7" s="49" t="s">
        <v>146</v>
      </c>
    </row>
  </sheetData>
  <phoneticPr fontId="15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151</v>
      </c>
      <c r="J1" s="60" t="s">
        <v>152</v>
      </c>
    </row>
    <row r="2" spans="1:10">
      <c r="A2" s="21" t="s">
        <v>56</v>
      </c>
      <c r="B2" s="21">
        <f>IF(A2="", "", VLOOKUP(A2, アイテム名_ID, 2, FALSE))</f>
        <v>45000</v>
      </c>
      <c r="C2" s="41" t="s">
        <v>80</v>
      </c>
      <c r="D2" s="58">
        <f>IF(C2="", "", VLOOKUP(C2, アイテム対象名_ID, 2, FALSE))</f>
        <v>1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5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153</v>
      </c>
      <c r="J1" s="60" t="s">
        <v>154</v>
      </c>
      <c r="K1" s="59"/>
      <c r="L1" s="59"/>
      <c r="M1" s="55"/>
      <c r="N1" s="55"/>
      <c r="O1" s="42"/>
      <c r="P1" s="42"/>
    </row>
    <row r="2" spans="1:17">
      <c r="A2" s="21" t="s">
        <v>54</v>
      </c>
      <c r="B2" s="21">
        <f>IF(A2="", "", VLOOKUP(A2, アイテム名_ID, 2, FALSE))</f>
        <v>40000</v>
      </c>
      <c r="C2" s="41" t="s">
        <v>79</v>
      </c>
      <c r="D2" s="58">
        <f>IF(C2="", "", VLOOKUP(C2, アイテム対象名_ID, 2, FALSE))</f>
        <v>0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55</v>
      </c>
      <c r="B3" s="21">
        <f>IF(A3="", "", VLOOKUP(A3, アイテム名_ID, 2, FALSE))</f>
        <v>40001</v>
      </c>
      <c r="C3" s="41" t="s">
        <v>79</v>
      </c>
      <c r="D3" s="58">
        <f>IF(C3="", "", VLOOKUP(C3, アイテム対象名_ID, 2, FALSE))</f>
        <v>0</v>
      </c>
      <c r="E3" s="58" t="s">
        <v>86</v>
      </c>
      <c r="F3" s="58">
        <f>IF(E3="", "", VLOOKUP(E3, アイテム効果範囲名_ID, 2, FALSE))</f>
        <v>0</v>
      </c>
      <c r="G3" s="58" t="s">
        <v>81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5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C13" sqref="C13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3" t="s">
        <v>37</v>
      </c>
      <c r="B1" s="83" t="s">
        <v>53</v>
      </c>
      <c r="C1" s="15" t="s">
        <v>51</v>
      </c>
      <c r="D1" s="15" t="s">
        <v>50</v>
      </c>
      <c r="E1" s="11" t="s">
        <v>49</v>
      </c>
      <c r="F1" s="11" t="s">
        <v>48</v>
      </c>
      <c r="G1" s="11" t="s">
        <v>47</v>
      </c>
      <c r="H1" s="70" t="s">
        <v>161</v>
      </c>
      <c r="I1" s="70" t="s">
        <v>162</v>
      </c>
    </row>
    <row r="2" spans="1:9">
      <c r="A2" s="17" t="s">
        <v>132</v>
      </c>
      <c r="B2" s="17">
        <f>IF(A2="", "", VLOOKUP(A2, アイテム名_ID, 2, FALSE))</f>
        <v>60000</v>
      </c>
      <c r="C2" s="13" t="s">
        <v>156</v>
      </c>
      <c r="D2" s="68">
        <f>IF(C2="", "", VLOOKUP(C2, 装備品種類名_ID, 2, FALSE))</f>
        <v>0</v>
      </c>
      <c r="E2" s="68">
        <v>5</v>
      </c>
      <c r="F2" s="68">
        <v>0</v>
      </c>
      <c r="G2" s="68">
        <v>0</v>
      </c>
      <c r="H2" s="14" t="s">
        <v>45</v>
      </c>
      <c r="I2" s="14" t="s">
        <v>42</v>
      </c>
    </row>
    <row r="3" spans="1:9">
      <c r="A3" s="17" t="s">
        <v>133</v>
      </c>
      <c r="B3" s="17">
        <f>IF(A3="", "", VLOOKUP(A3, アイテム名_ID, 2, FALSE))</f>
        <v>60001</v>
      </c>
      <c r="C3" s="13" t="s">
        <v>43</v>
      </c>
      <c r="D3" s="68">
        <f>IF(C3="", "", VLOOKUP(C3, 装備品種類名_ID, 2, FALSE))</f>
        <v>1</v>
      </c>
      <c r="E3" s="68">
        <v>0</v>
      </c>
      <c r="F3" s="68">
        <v>5</v>
      </c>
      <c r="G3" s="68">
        <v>0</v>
      </c>
      <c r="H3" s="14" t="s">
        <v>42</v>
      </c>
      <c r="I3" s="14" t="s">
        <v>42</v>
      </c>
    </row>
  </sheetData>
  <phoneticPr fontId="15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135</v>
      </c>
      <c r="C2" s="34" t="s">
        <v>117</v>
      </c>
      <c r="E2" s="48" t="s">
        <v>134</v>
      </c>
      <c r="F2" s="48" t="s">
        <v>117</v>
      </c>
      <c r="H2" s="56" t="s">
        <v>88</v>
      </c>
      <c r="I2" s="56" t="s">
        <v>117</v>
      </c>
      <c r="K2" s="34" t="s">
        <v>155</v>
      </c>
      <c r="L2" s="34" t="s">
        <v>117</v>
      </c>
      <c r="N2" s="69" t="s">
        <v>158</v>
      </c>
      <c r="T2" s="43"/>
      <c r="U2" s="43"/>
      <c r="V2" s="42"/>
      <c r="W2" s="44"/>
      <c r="X2" s="44"/>
    </row>
    <row r="3" spans="2:24">
      <c r="B3" s="17" t="s">
        <v>54</v>
      </c>
      <c r="C3" s="9">
        <v>40000</v>
      </c>
      <c r="E3" s="37" t="s">
        <v>135</v>
      </c>
      <c r="F3" s="9">
        <v>0</v>
      </c>
      <c r="H3" s="82" t="s">
        <v>79</v>
      </c>
      <c r="I3" s="9">
        <v>0</v>
      </c>
      <c r="K3" s="37" t="s">
        <v>156</v>
      </c>
      <c r="L3" s="9">
        <v>0</v>
      </c>
      <c r="N3" s="47" t="s">
        <v>159</v>
      </c>
      <c r="T3" s="45"/>
      <c r="U3" s="45"/>
      <c r="V3" s="42"/>
      <c r="W3" s="42"/>
      <c r="X3" s="42"/>
    </row>
    <row r="4" spans="2:24">
      <c r="B4" s="17" t="s">
        <v>55</v>
      </c>
      <c r="C4" s="9">
        <f>C3 + 1</f>
        <v>40001</v>
      </c>
      <c r="E4" s="37" t="s">
        <v>138</v>
      </c>
      <c r="F4" s="9">
        <f>F3+1</f>
        <v>1</v>
      </c>
      <c r="H4" s="37" t="s">
        <v>80</v>
      </c>
      <c r="I4" s="9">
        <f>I3+1</f>
        <v>1</v>
      </c>
      <c r="K4" s="37" t="s">
        <v>157</v>
      </c>
      <c r="L4" s="9">
        <f>L3+1</f>
        <v>1</v>
      </c>
      <c r="N4" s="47" t="s">
        <v>160</v>
      </c>
      <c r="T4" s="45"/>
      <c r="U4" s="45"/>
      <c r="V4" s="42"/>
      <c r="W4" s="42"/>
      <c r="X4" s="42"/>
    </row>
    <row r="5" spans="2:24">
      <c r="B5" s="118" t="s">
        <v>138</v>
      </c>
      <c r="C5" s="119"/>
      <c r="E5" s="37" t="s">
        <v>136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56</v>
      </c>
      <c r="C6" s="9">
        <v>45000</v>
      </c>
      <c r="E6" s="37" t="s">
        <v>137</v>
      </c>
      <c r="F6" s="9">
        <f t="shared" si="0"/>
        <v>3</v>
      </c>
      <c r="H6" s="57" t="s">
        <v>147</v>
      </c>
      <c r="I6" s="57" t="s">
        <v>117</v>
      </c>
      <c r="T6" s="45"/>
      <c r="U6" s="45"/>
      <c r="V6" s="42"/>
      <c r="W6" s="42"/>
      <c r="X6" s="42"/>
    </row>
    <row r="7" spans="2:24">
      <c r="B7" s="114" t="s">
        <v>131</v>
      </c>
      <c r="C7" s="115"/>
      <c r="H7" s="37" t="s">
        <v>86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127</v>
      </c>
      <c r="C8" s="9">
        <v>50000</v>
      </c>
      <c r="H8" s="37" t="s">
        <v>87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16" t="s">
        <v>130</v>
      </c>
      <c r="C9" s="117"/>
      <c r="H9" s="37" t="s">
        <v>148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57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58</v>
      </c>
      <c r="C11" s="9">
        <f>C10+1</f>
        <v>60001</v>
      </c>
      <c r="H11" s="36" t="s">
        <v>150</v>
      </c>
      <c r="I11" s="36" t="s">
        <v>117</v>
      </c>
      <c r="T11" s="42"/>
      <c r="U11" s="42"/>
      <c r="V11" s="42"/>
      <c r="W11" s="42"/>
      <c r="X11" s="42"/>
    </row>
    <row r="12" spans="2:24">
      <c r="B12" s="9"/>
      <c r="C12" s="9"/>
      <c r="H12" s="37" t="s">
        <v>81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149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5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0" t="s">
        <v>12</v>
      </c>
      <c r="C14" s="120"/>
      <c r="D14" s="1"/>
      <c r="E14" s="121" t="s">
        <v>34</v>
      </c>
      <c r="F14" s="121"/>
      <c r="G14" s="1"/>
      <c r="H14" s="121" t="s">
        <v>11</v>
      </c>
      <c r="I14" s="121"/>
      <c r="K14" s="122" t="s">
        <v>66</v>
      </c>
      <c r="L14" s="122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168</v>
      </c>
      <c r="L15" s="18">
        <v>0</v>
      </c>
    </row>
    <row r="16" spans="2:12">
      <c r="B16" s="86" t="s">
        <v>103</v>
      </c>
      <c r="C16" s="84">
        <v>10000</v>
      </c>
      <c r="D16" s="1"/>
      <c r="E16" s="97" t="s">
        <v>35</v>
      </c>
      <c r="F16" s="97">
        <v>20000</v>
      </c>
      <c r="G16" s="1"/>
      <c r="H16" s="72" t="s">
        <v>172</v>
      </c>
      <c r="I16" s="16">
        <v>0</v>
      </c>
      <c r="K16" s="18" t="s">
        <v>170</v>
      </c>
      <c r="L16" s="18">
        <v>1</v>
      </c>
    </row>
    <row r="17" spans="2:12">
      <c r="B17" s="86" t="s">
        <v>101</v>
      </c>
      <c r="C17" s="84">
        <f>IF(B17="","",C16+1)</f>
        <v>10001</v>
      </c>
      <c r="D17" s="1"/>
      <c r="E17" s="97" t="s">
        <v>36</v>
      </c>
      <c r="F17" s="97">
        <f>IF(E17="", "", F16+1)</f>
        <v>20001</v>
      </c>
      <c r="G17" s="1"/>
      <c r="H17" s="72" t="s">
        <v>174</v>
      </c>
      <c r="I17" s="16">
        <f t="shared" ref="I17:I27" si="0">I16+1</f>
        <v>1</v>
      </c>
      <c r="K17" s="18"/>
      <c r="L17" s="18"/>
    </row>
    <row r="18" spans="2:12">
      <c r="B18" s="84"/>
      <c r="C18" s="84" t="str">
        <f>IF(B18="","",C17+1)</f>
        <v/>
      </c>
      <c r="D18" s="1"/>
      <c r="E18" s="97" t="s">
        <v>60</v>
      </c>
      <c r="F18" s="97">
        <f>IF(E18="", "", F17+1)</f>
        <v>20002</v>
      </c>
      <c r="G18" s="1"/>
      <c r="H18" s="72" t="s">
        <v>176</v>
      </c>
      <c r="I18" s="16">
        <f t="shared" si="0"/>
        <v>2</v>
      </c>
    </row>
    <row r="19" spans="2:12">
      <c r="B19" s="84"/>
      <c r="C19" s="84" t="str">
        <f>IF(B19="","",C18+1)</f>
        <v/>
      </c>
      <c r="D19" s="1"/>
      <c r="E19" s="1"/>
      <c r="F19" s="1"/>
      <c r="G19" s="1"/>
      <c r="H19" s="72" t="s">
        <v>178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180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182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184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185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187</v>
      </c>
      <c r="I24" s="16">
        <f t="shared" si="0"/>
        <v>8</v>
      </c>
    </row>
    <row r="25" spans="2:12">
      <c r="B25" s="120" t="s">
        <v>199</v>
      </c>
      <c r="C25" s="120"/>
      <c r="D25" s="1"/>
      <c r="E25" s="1"/>
      <c r="F25" s="1"/>
      <c r="G25" s="1"/>
      <c r="H25" s="72" t="s">
        <v>188</v>
      </c>
      <c r="I25" s="16">
        <f t="shared" si="0"/>
        <v>9</v>
      </c>
    </row>
    <row r="26" spans="2:12">
      <c r="B26" s="100" t="s">
        <v>200</v>
      </c>
      <c r="C26" s="100" t="s">
        <v>71</v>
      </c>
      <c r="D26" s="1"/>
      <c r="E26" s="1"/>
      <c r="F26" s="1"/>
      <c r="G26" s="1"/>
      <c r="H26" s="72" t="s">
        <v>189</v>
      </c>
      <c r="I26" s="16">
        <f t="shared" si="0"/>
        <v>10</v>
      </c>
    </row>
    <row r="27" spans="2:12">
      <c r="B27" s="21" t="s">
        <v>202</v>
      </c>
      <c r="C27" s="21">
        <v>15000</v>
      </c>
      <c r="H27" s="72" t="s">
        <v>190</v>
      </c>
      <c r="I27" s="16">
        <f t="shared" si="0"/>
        <v>11</v>
      </c>
    </row>
    <row r="28" spans="2:12">
      <c r="B28" s="99"/>
      <c r="C28" s="99"/>
    </row>
  </sheetData>
  <mergeCells count="5">
    <mergeCell ref="B14:C14"/>
    <mergeCell ref="E14:F14"/>
    <mergeCell ref="H14:I14"/>
    <mergeCell ref="K14:L14"/>
    <mergeCell ref="B25:C25"/>
  </mergeCells>
  <phoneticPr fontId="15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3"/>
  <sheetViews>
    <sheetView workbookViewId="0">
      <selection activeCell="C8" sqref="C8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27.75" bestFit="1" customWidth="1"/>
  </cols>
  <sheetData>
    <row r="1" spans="1:5">
      <c r="A1" s="78" t="s">
        <v>5</v>
      </c>
      <c r="B1" s="78" t="s">
        <v>164</v>
      </c>
      <c r="C1" s="81" t="s">
        <v>64</v>
      </c>
      <c r="D1" s="81" t="s">
        <v>65</v>
      </c>
      <c r="E1" s="79" t="s">
        <v>166</v>
      </c>
    </row>
    <row r="2" spans="1:5">
      <c r="A2" s="76" t="s">
        <v>197</v>
      </c>
      <c r="B2" s="76">
        <f>IF(A2="","",VLOOKUP(A2, 地形名_ID, 2, FALSE))</f>
        <v>30000</v>
      </c>
      <c r="C2" s="80" t="s">
        <v>171</v>
      </c>
      <c r="D2" s="80">
        <f>IF(C2="", "", VLOOKUP(C2, モーション名_ID, 2, FALSE))</f>
        <v>0</v>
      </c>
      <c r="E2" s="76" t="s">
        <v>198</v>
      </c>
    </row>
    <row r="3" spans="1:5">
      <c r="A3" s="77"/>
      <c r="B3" s="77"/>
      <c r="C3" s="77"/>
    </row>
  </sheetData>
  <phoneticPr fontId="15"/>
  <dataValidations count="2">
    <dataValidation type="list" allowBlank="1" showInputMessage="1" showErrorMessage="1" sqref="A2" xr:uid="{9E519E7A-0B39-4F75-B8A8-700FAAEF90D1}">
      <formula1>地形名</formula1>
    </dataValidation>
    <dataValidation type="list" allowBlank="1" showInputMessage="1" showErrorMessage="1" sqref="C2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23" t="s">
        <v>195</v>
      </c>
      <c r="C2" s="123"/>
    </row>
    <row r="3" spans="2:3">
      <c r="B3" s="74" t="s">
        <v>196</v>
      </c>
      <c r="C3" s="74" t="s">
        <v>7</v>
      </c>
    </row>
    <row r="4" spans="2:3">
      <c r="B4" s="75" t="s">
        <v>197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70</v>
      </c>
      <c r="C2" s="20" t="s">
        <v>71</v>
      </c>
      <c r="E2" s="22" t="s">
        <v>72</v>
      </c>
      <c r="F2" s="22" t="s">
        <v>73</v>
      </c>
      <c r="H2" s="23" t="s">
        <v>83</v>
      </c>
      <c r="I2" s="23" t="s">
        <v>71</v>
      </c>
      <c r="K2" s="24" t="s">
        <v>74</v>
      </c>
      <c r="L2" s="24" t="s">
        <v>71</v>
      </c>
    </row>
    <row r="3" spans="2:12">
      <c r="B3" s="21" t="s">
        <v>76</v>
      </c>
      <c r="C3" s="21">
        <v>0</v>
      </c>
      <c r="E3" s="21" t="s">
        <v>78</v>
      </c>
      <c r="F3" s="21">
        <v>0</v>
      </c>
      <c r="H3" s="21" t="s">
        <v>86</v>
      </c>
      <c r="I3" s="21">
        <v>0</v>
      </c>
      <c r="K3" s="21" t="s">
        <v>81</v>
      </c>
      <c r="L3" s="21">
        <v>0</v>
      </c>
    </row>
    <row r="4" spans="2:12">
      <c r="B4" s="21" t="s">
        <v>77</v>
      </c>
      <c r="C4" s="21">
        <f t="shared" ref="C4" si="0">C3+1</f>
        <v>1</v>
      </c>
      <c r="E4" s="21" t="s">
        <v>79</v>
      </c>
      <c r="F4" s="21">
        <f>F3+1</f>
        <v>1</v>
      </c>
      <c r="H4" s="21" t="s">
        <v>87</v>
      </c>
      <c r="I4" s="21">
        <f>I3 + 1</f>
        <v>1</v>
      </c>
      <c r="K4" s="21" t="s">
        <v>82</v>
      </c>
      <c r="L4" s="21">
        <f>L3+ 1</f>
        <v>1</v>
      </c>
    </row>
    <row r="5" spans="2:12">
      <c r="E5" s="21" t="s">
        <v>80</v>
      </c>
      <c r="F5" s="21">
        <f t="shared" ref="F5" si="1">F4+1</f>
        <v>2</v>
      </c>
    </row>
  </sheetData>
  <phoneticPr fontId="1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163</v>
      </c>
      <c r="E2" s="73" t="s">
        <v>192</v>
      </c>
      <c r="F2" s="73" t="s">
        <v>193</v>
      </c>
    </row>
    <row r="3" spans="4:6">
      <c r="D3" s="21" t="s">
        <v>216</v>
      </c>
      <c r="E3" s="21">
        <v>1</v>
      </c>
      <c r="F3" s="21">
        <v>2</v>
      </c>
    </row>
  </sheetData>
  <phoneticPr fontId="15"/>
  <dataValidations count="1">
    <dataValidation type="list" allowBlank="1" showInputMessage="1" showErrorMessage="1" sqref="D3" xr:uid="{031D2434-E29C-4E3F-B44A-FAAE1A51E586}">
      <formula1>",PLStatus,PLMesh,PLSkill,PLTransform,NPCMesh,NPCTransform,NPCText,EnmStatus,EnmMesh,EnmDrop,EnmTransform,ItemBase,DamageItemData,HealItemData,EquipmentData,TerrainMesh"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33</vt:i4>
      </vt:variant>
    </vt:vector>
  </HeadingPairs>
  <TitlesOfParts>
    <vt:vector size="54" baseType="lpstr">
      <vt:lpstr>PLStatus</vt:lpstr>
      <vt:lpstr>PLMesh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2021-09-05T17:59:18Z</dcterms:modified>
</cp:coreProperties>
</file>